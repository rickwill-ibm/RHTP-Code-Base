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ichardwilliams/Documents/SLED/Idaho/Idaho RFPs/"/>
    </mc:Choice>
  </mc:AlternateContent>
  <xr:revisionPtr revIDLastSave="0" documentId="8_{C05E59CA-1DA2-9941-A858-FF700F22F307}" xr6:coauthVersionLast="47" xr6:coauthVersionMax="47" xr10:uidLastSave="{00000000-0000-0000-0000-000000000000}"/>
  <bookViews>
    <workbookView xWindow="0" yWindow="760" windowWidth="30240" windowHeight="18060" tabRatio="500" activeTab="10" xr2:uid="{00000000-000D-0000-FFFF-FFFF00000000}"/>
  </bookViews>
  <sheets>
    <sheet name="Read Me" sheetId="1" r:id="rId1"/>
    <sheet name="Rate Card" sheetId="2" r:id="rId2"/>
    <sheet name="Assumptions" sheetId="3" r:id="rId3"/>
    <sheet name="Module Build Cost" sheetId="4" r:id="rId4"/>
    <sheet name="Phase Summary" sheetId="5" r:id="rId5"/>
    <sheet name="Run &amp; Maintain" sheetId="6" r:id="rId6"/>
    <sheet name="ROI Illustration" sheetId="7" r:id="rId7"/>
    <sheet name="Timeline" sheetId="8" r:id="rId8"/>
    <sheet name="Approach B - Partner Model" sheetId="9" r:id="rId9"/>
    <sheet name="A vs B Comparison" sheetId="10" r:id="rId10"/>
    <sheet name="Module Specification"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5" i="9" l="1"/>
  <c r="B51" i="9"/>
  <c r="B50" i="9"/>
  <c r="B49" i="9"/>
  <c r="E28" i="9"/>
  <c r="G28" i="9" s="1"/>
  <c r="E27" i="9"/>
  <c r="G27" i="9" s="1"/>
  <c r="E26" i="9"/>
  <c r="G26" i="9" s="1"/>
  <c r="E25" i="9"/>
  <c r="G25" i="9" s="1"/>
  <c r="E24" i="9"/>
  <c r="G24" i="9" s="1"/>
  <c r="E23" i="9"/>
  <c r="G23" i="9" s="1"/>
  <c r="E22" i="9"/>
  <c r="G22" i="9" s="1"/>
  <c r="E21" i="9"/>
  <c r="G21" i="9" s="1"/>
  <c r="E20" i="9"/>
  <c r="G20" i="9" s="1"/>
  <c r="E19" i="9"/>
  <c r="G19" i="9" s="1"/>
  <c r="E18" i="9"/>
  <c r="G18" i="9" s="1"/>
  <c r="E17" i="9"/>
  <c r="G17" i="9" s="1"/>
  <c r="E16" i="9"/>
  <c r="G16" i="9" s="1"/>
  <c r="E15" i="9"/>
  <c r="G15" i="9" s="1"/>
  <c r="E14" i="9"/>
  <c r="G14" i="9" s="1"/>
  <c r="E13" i="9"/>
  <c r="G13" i="9" s="1"/>
  <c r="E12" i="9"/>
  <c r="G12" i="9" s="1"/>
  <c r="E11" i="9"/>
  <c r="G11" i="9" s="1"/>
  <c r="E10" i="9"/>
  <c r="G10" i="9" s="1"/>
  <c r="E9" i="9"/>
  <c r="G9" i="9" s="1"/>
  <c r="E8" i="9"/>
  <c r="G8" i="9" s="1"/>
  <c r="E7" i="9"/>
  <c r="G7" i="9" s="1"/>
  <c r="E6" i="9"/>
  <c r="E29" i="9" s="1"/>
  <c r="D8" i="8"/>
  <c r="B8" i="8"/>
  <c r="D7" i="8"/>
  <c r="B7" i="8"/>
  <c r="D6" i="8"/>
  <c r="B6" i="8"/>
  <c r="D5" i="8"/>
  <c r="E5" i="8" s="1"/>
  <c r="C6" i="8" s="1"/>
  <c r="E6" i="8" s="1"/>
  <c r="B5" i="8"/>
  <c r="B11" i="7"/>
  <c r="B12" i="7" s="1"/>
  <c r="B13" i="7" s="1"/>
  <c r="B19" i="6"/>
  <c r="G11" i="6"/>
  <c r="F11" i="6"/>
  <c r="D11" i="6"/>
  <c r="F10" i="6"/>
  <c r="G10" i="6" s="1"/>
  <c r="E10" i="6"/>
  <c r="D10" i="6"/>
  <c r="F9" i="6"/>
  <c r="G9" i="6" s="1"/>
  <c r="E9" i="6"/>
  <c r="D9" i="6"/>
  <c r="F8" i="6"/>
  <c r="G8" i="6" s="1"/>
  <c r="E8" i="6"/>
  <c r="D8" i="6"/>
  <c r="F7" i="6"/>
  <c r="G7" i="6" s="1"/>
  <c r="E7" i="6"/>
  <c r="D7" i="6"/>
  <c r="F6" i="6"/>
  <c r="G6" i="6" s="1"/>
  <c r="E6" i="6"/>
  <c r="D6" i="6"/>
  <c r="F5" i="6"/>
  <c r="G5" i="6" s="1"/>
  <c r="E5" i="6"/>
  <c r="D5" i="6"/>
  <c r="E9" i="5"/>
  <c r="C9" i="5"/>
  <c r="B9" i="10" s="1"/>
  <c r="D9" i="10" s="1"/>
  <c r="G8" i="5"/>
  <c r="E8" i="5"/>
  <c r="D8" i="5"/>
  <c r="E7" i="5"/>
  <c r="G7" i="5" s="1"/>
  <c r="D7" i="5"/>
  <c r="E6" i="5"/>
  <c r="G6" i="5" s="1"/>
  <c r="D6" i="5"/>
  <c r="D9" i="5" s="1"/>
  <c r="E29" i="4"/>
  <c r="H28" i="4"/>
  <c r="J28" i="4" s="1"/>
  <c r="G28" i="4"/>
  <c r="I28" i="4" s="1"/>
  <c r="F28" i="4"/>
  <c r="H27" i="4"/>
  <c r="H27" i="11" s="1"/>
  <c r="I27" i="11" s="1"/>
  <c r="F27" i="4"/>
  <c r="G27" i="4" s="1"/>
  <c r="I27" i="4" s="1"/>
  <c r="K27" i="4" s="1"/>
  <c r="F26" i="4"/>
  <c r="H26" i="4" s="1"/>
  <c r="F25" i="4"/>
  <c r="G25" i="4" s="1"/>
  <c r="I25" i="4" s="1"/>
  <c r="K25" i="4" s="1"/>
  <c r="K24" i="4"/>
  <c r="I24" i="4"/>
  <c r="H24" i="4"/>
  <c r="J24" i="4" s="1"/>
  <c r="L24" i="4" s="1"/>
  <c r="H24" i="9" s="1"/>
  <c r="I24" i="9" s="1"/>
  <c r="G24" i="4"/>
  <c r="F24" i="4"/>
  <c r="J23" i="4"/>
  <c r="H23" i="4"/>
  <c r="F23" i="4"/>
  <c r="G23" i="4" s="1"/>
  <c r="I23" i="4" s="1"/>
  <c r="K23" i="4" s="1"/>
  <c r="I22" i="4"/>
  <c r="K22" i="4" s="1"/>
  <c r="G22" i="4"/>
  <c r="F22" i="4"/>
  <c r="H22" i="4" s="1"/>
  <c r="H21" i="4"/>
  <c r="F21" i="4"/>
  <c r="G21" i="4" s="1"/>
  <c r="I21" i="4" s="1"/>
  <c r="K21" i="4" s="1"/>
  <c r="H20" i="4"/>
  <c r="J20" i="4" s="1"/>
  <c r="G20" i="4"/>
  <c r="I20" i="4" s="1"/>
  <c r="F20" i="4"/>
  <c r="F19" i="4"/>
  <c r="H19" i="4" s="1"/>
  <c r="F18" i="4"/>
  <c r="H18" i="4" s="1"/>
  <c r="F17" i="4"/>
  <c r="G17" i="4" s="1"/>
  <c r="I17" i="4" s="1"/>
  <c r="K17" i="4" s="1"/>
  <c r="K16" i="4"/>
  <c r="I16" i="4"/>
  <c r="H16" i="4"/>
  <c r="J16" i="4" s="1"/>
  <c r="L16" i="4" s="1"/>
  <c r="H16" i="9" s="1"/>
  <c r="I16" i="9" s="1"/>
  <c r="G16" i="4"/>
  <c r="F16" i="4"/>
  <c r="J15" i="4"/>
  <c r="H15" i="4"/>
  <c r="F15" i="4"/>
  <c r="G15" i="4" s="1"/>
  <c r="I15" i="4" s="1"/>
  <c r="K15" i="4" s="1"/>
  <c r="I14" i="4"/>
  <c r="K14" i="4" s="1"/>
  <c r="G14" i="4"/>
  <c r="F14" i="4"/>
  <c r="H14" i="4" s="1"/>
  <c r="H13" i="4"/>
  <c r="F13" i="4"/>
  <c r="G13" i="4" s="1"/>
  <c r="I13" i="4" s="1"/>
  <c r="K13" i="4" s="1"/>
  <c r="H12" i="4"/>
  <c r="J12" i="4" s="1"/>
  <c r="G12" i="4"/>
  <c r="I12" i="4" s="1"/>
  <c r="F12" i="4"/>
  <c r="F11" i="4"/>
  <c r="H11" i="4" s="1"/>
  <c r="F10" i="4"/>
  <c r="H10" i="4" s="1"/>
  <c r="F9" i="4"/>
  <c r="G9" i="4" s="1"/>
  <c r="I9" i="4" s="1"/>
  <c r="K9" i="4" s="1"/>
  <c r="K8" i="4"/>
  <c r="I8" i="4"/>
  <c r="H8" i="4"/>
  <c r="J8" i="4" s="1"/>
  <c r="L8" i="4" s="1"/>
  <c r="H8" i="9" s="1"/>
  <c r="I8" i="9" s="1"/>
  <c r="G8" i="4"/>
  <c r="F8" i="4"/>
  <c r="J7" i="4"/>
  <c r="H7" i="4"/>
  <c r="H7" i="11" s="1"/>
  <c r="I7" i="11" s="1"/>
  <c r="F7" i="4"/>
  <c r="G7" i="4" s="1"/>
  <c r="I7" i="4" s="1"/>
  <c r="I6" i="4"/>
  <c r="K6" i="4" s="1"/>
  <c r="G6" i="4"/>
  <c r="F6" i="4"/>
  <c r="H6" i="4" s="1"/>
  <c r="H24" i="11"/>
  <c r="I24" i="11" s="1"/>
  <c r="H16" i="11"/>
  <c r="I16" i="11" s="1"/>
  <c r="H8" i="11"/>
  <c r="I8" i="11" s="1"/>
  <c r="G12" i="6" l="1"/>
  <c r="J11" i="4"/>
  <c r="H21" i="11"/>
  <c r="I21" i="11" s="1"/>
  <c r="J10" i="4"/>
  <c r="J22" i="4"/>
  <c r="L22" i="4" s="1"/>
  <c r="H22" i="9" s="1"/>
  <c r="I22" i="9" s="1"/>
  <c r="H22" i="11"/>
  <c r="I22" i="11" s="1"/>
  <c r="H28" i="11"/>
  <c r="I28" i="11" s="1"/>
  <c r="K28" i="4"/>
  <c r="J18" i="4"/>
  <c r="H12" i="11"/>
  <c r="I12" i="11" s="1"/>
  <c r="K12" i="4"/>
  <c r="L12" i="4" s="1"/>
  <c r="H12" i="9" s="1"/>
  <c r="I12" i="9" s="1"/>
  <c r="B42" i="9" s="1"/>
  <c r="B44" i="9" s="1"/>
  <c r="L28" i="4"/>
  <c r="H28" i="9" s="1"/>
  <c r="I28" i="9" s="1"/>
  <c r="J19" i="4"/>
  <c r="L19" i="4" s="1"/>
  <c r="H19" i="9" s="1"/>
  <c r="I19" i="9" s="1"/>
  <c r="B22" i="7"/>
  <c r="C15" i="10"/>
  <c r="B15" i="10"/>
  <c r="H13" i="11"/>
  <c r="I13" i="11" s="1"/>
  <c r="H20" i="11"/>
  <c r="I20" i="11" s="1"/>
  <c r="K20" i="4"/>
  <c r="L20" i="4" s="1"/>
  <c r="H20" i="9" s="1"/>
  <c r="I20" i="9" s="1"/>
  <c r="H23" i="11"/>
  <c r="I23" i="11" s="1"/>
  <c r="J26" i="4"/>
  <c r="B10" i="10"/>
  <c r="D10" i="10" s="1"/>
  <c r="C7" i="8"/>
  <c r="E7" i="8" s="1"/>
  <c r="C8" i="8" s="1"/>
  <c r="E8" i="8" s="1"/>
  <c r="H15" i="11"/>
  <c r="I15" i="11" s="1"/>
  <c r="J6" i="4"/>
  <c r="H6" i="11"/>
  <c r="L15" i="4"/>
  <c r="H15" i="9" s="1"/>
  <c r="I15" i="9" s="1"/>
  <c r="K7" i="4"/>
  <c r="K29" i="4" s="1"/>
  <c r="J14" i="4"/>
  <c r="L14" i="4" s="1"/>
  <c r="H14" i="9" s="1"/>
  <c r="I14" i="9" s="1"/>
  <c r="H14" i="11"/>
  <c r="I14" i="11" s="1"/>
  <c r="L23" i="4"/>
  <c r="H9" i="4"/>
  <c r="H17" i="4"/>
  <c r="H25" i="4"/>
  <c r="J27" i="4"/>
  <c r="L27" i="4" s="1"/>
  <c r="H27" i="9" s="1"/>
  <c r="I27" i="9" s="1"/>
  <c r="G11" i="4"/>
  <c r="I11" i="4" s="1"/>
  <c r="K11" i="4" s="1"/>
  <c r="G6" i="9"/>
  <c r="G29" i="9" s="1"/>
  <c r="G19" i="4"/>
  <c r="I19" i="4" s="1"/>
  <c r="K19" i="4" s="1"/>
  <c r="J13" i="4"/>
  <c r="L13" i="4" s="1"/>
  <c r="H13" i="9" s="1"/>
  <c r="I13" i="9" s="1"/>
  <c r="G18" i="4"/>
  <c r="I18" i="4" s="1"/>
  <c r="K18" i="4" s="1"/>
  <c r="J21" i="4"/>
  <c r="L21" i="4" s="1"/>
  <c r="H21" i="9" s="1"/>
  <c r="I21" i="9" s="1"/>
  <c r="G26" i="4"/>
  <c r="I26" i="4" s="1"/>
  <c r="K26" i="4" s="1"/>
  <c r="G10" i="4"/>
  <c r="I10" i="4" s="1"/>
  <c r="K10" i="4" s="1"/>
  <c r="C8" i="10" l="1"/>
  <c r="I29" i="4"/>
  <c r="H10" i="11"/>
  <c r="I10" i="11" s="1"/>
  <c r="H26" i="11"/>
  <c r="I26" i="11" s="1"/>
  <c r="L10" i="4"/>
  <c r="H10" i="9" s="1"/>
  <c r="I10" i="9" s="1"/>
  <c r="H18" i="11"/>
  <c r="I18" i="11" s="1"/>
  <c r="H25" i="11"/>
  <c r="I25" i="11" s="1"/>
  <c r="J25" i="4"/>
  <c r="L25" i="4" s="1"/>
  <c r="H25" i="9" s="1"/>
  <c r="I25" i="9" s="1"/>
  <c r="L26" i="4"/>
  <c r="H26" i="9" s="1"/>
  <c r="I26" i="9" s="1"/>
  <c r="L11" i="4"/>
  <c r="H11" i="9" s="1"/>
  <c r="I11" i="9" s="1"/>
  <c r="H9" i="11"/>
  <c r="I9" i="11" s="1"/>
  <c r="J9" i="4"/>
  <c r="L9" i="4" s="1"/>
  <c r="H9" i="9" s="1"/>
  <c r="I9" i="9" s="1"/>
  <c r="L18" i="4"/>
  <c r="H23" i="9"/>
  <c r="F8" i="5"/>
  <c r="H11" i="11"/>
  <c r="I11" i="11" s="1"/>
  <c r="L6" i="4"/>
  <c r="H19" i="11"/>
  <c r="I19" i="11" s="1"/>
  <c r="L7" i="4"/>
  <c r="H7" i="9" s="1"/>
  <c r="I7" i="9" s="1"/>
  <c r="H17" i="11"/>
  <c r="I17" i="11" s="1"/>
  <c r="J17" i="4"/>
  <c r="L17" i="4" s="1"/>
  <c r="H17" i="9" s="1"/>
  <c r="I17" i="9" s="1"/>
  <c r="I6" i="11"/>
  <c r="H29" i="4"/>
  <c r="B21" i="6"/>
  <c r="B48" i="9"/>
  <c r="B53" i="9" s="1"/>
  <c r="B36" i="9" l="1"/>
  <c r="I23" i="9"/>
  <c r="C36" i="9" s="1"/>
  <c r="F7" i="5"/>
  <c r="H18" i="9"/>
  <c r="C11" i="10"/>
  <c r="B56" i="9"/>
  <c r="C17" i="10" s="1"/>
  <c r="C19" i="10" s="1"/>
  <c r="B24" i="7"/>
  <c r="B11" i="10"/>
  <c r="D11" i="10" s="1"/>
  <c r="B24" i="6"/>
  <c r="B16" i="7" s="1"/>
  <c r="J29" i="4"/>
  <c r="L29" i="4"/>
  <c r="H6" i="9"/>
  <c r="F6" i="5"/>
  <c r="I29" i="11"/>
  <c r="H29" i="11"/>
  <c r="B8" i="10" l="1"/>
  <c r="D8" i="10" s="1"/>
  <c r="F9" i="5"/>
  <c r="B6" i="10"/>
  <c r="B15" i="7"/>
  <c r="B17" i="7" s="1"/>
  <c r="H29" i="9"/>
  <c r="I6" i="9"/>
  <c r="B34" i="9"/>
  <c r="B35" i="9"/>
  <c r="D35" i="9" s="1"/>
  <c r="E35" i="9" s="1"/>
  <c r="I18" i="9"/>
  <c r="C35" i="9" s="1"/>
  <c r="D36" i="9"/>
  <c r="E36" i="9" s="1"/>
  <c r="B16" i="10" l="1"/>
  <c r="B18" i="7"/>
  <c r="B18" i="10" s="1"/>
  <c r="B5" i="10"/>
  <c r="D5" i="10" s="1"/>
  <c r="B23" i="7"/>
  <c r="B25" i="7" s="1"/>
  <c r="B26" i="7" s="1"/>
  <c r="B41" i="9"/>
  <c r="C34" i="9"/>
  <c r="C6" i="10" s="1"/>
  <c r="D6" i="10" s="1"/>
  <c r="I29" i="9"/>
  <c r="C5" i="10" s="1"/>
  <c r="C7" i="10" l="1"/>
  <c r="C16" i="10"/>
  <c r="C18" i="10" s="1"/>
  <c r="D34" i="9"/>
  <c r="E34"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RHTP</author>
  </authors>
  <commentList>
    <comment ref="F5" authorId="0" shapeId="0" xr:uid="{00000000-0006-0000-0400-000001000000}">
      <text>
        <r>
          <rPr>
            <sz val="11"/>
            <color theme="1"/>
            <rFont val="Calibri"/>
            <family val="2"/>
            <charset val="1"/>
          </rPr>
          <t>Fixed discovery-phase cost input (not derived from module list) — planning, environment stand-up, security/compliance baseline, cohort &amp; priority-connector selection.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RHTP</author>
  </authors>
  <commentList>
    <comment ref="A20" authorId="0" shapeId="0" xr:uid="{00000000-0006-0000-0600-000001000000}">
      <text>
        <r>
          <rPr>
            <sz val="11"/>
            <color theme="1"/>
            <rFont val="Calibri"/>
            <family val="2"/>
            <charset val="1"/>
          </rPr>
          <t>Phase 1 investment funds the reusable core platform, not just the pilot cohort — so payback improves once that platform serves the full population without being rebuilt.</t>
        </r>
      </text>
    </comment>
  </commentList>
</comments>
</file>

<file path=xl/sharedStrings.xml><?xml version="1.0" encoding="utf-8"?>
<sst xmlns="http://schemas.openxmlformats.org/spreadsheetml/2006/main" count="485" uniqueCount="336">
  <si>
    <t>RHTP Module Specification — Screens, Inputs, Outputs</t>
  </si>
  <si>
    <t>All 23 modules defined across the cost model and strategy documents (5 Core Platform + 8 Persona + 10 Data Connector). Most Core Platform and Data Connector modules are backend services with no dedicated screen of their own — they surface through the persona screens and an admin/platform console noted below. Two hour-estimate columns have been added: approximate hours for a traditional human development team (linked from the Module Build Cost tab) and approximate hours using Claude ("Bob") as an AI-assisted developer, based on editable acceleration assumptions on the Assumptions tab. Both are illustrative planning estimates, not delivery commitments.</t>
  </si>
  <si>
    <t>#</t>
  </si>
  <si>
    <t>Module</t>
  </si>
  <si>
    <t>Category</t>
  </si>
  <si>
    <t>Phase</t>
  </si>
  <si>
    <t>Associated Screen / View</t>
  </si>
  <si>
    <t>Key Inputs</t>
  </si>
  <si>
    <t>Key Outputs</t>
  </si>
  <si>
    <t>Dev Team Development Hours</t>
  </si>
  <si>
    <t>Bob (Claude) Dev Hours</t>
  </si>
  <si>
    <t>C1. FHIR-Native Integration &amp; Ingestion Layer</t>
  </si>
  <si>
    <t>Core Platform</t>
  </si>
  <si>
    <t>Admin Console — Data Source Connection Status</t>
  </si>
  <si>
    <t>Raw source feeds: EHR FHIR APIs, X12 837/835 claims files, batch extracts, real-time API calls (Patient/Provider Access, IIS)</t>
  </si>
  <si>
    <t>Normalized FHIR R4 resources published to the knowledge graph ingestion queue; connection health/status events</t>
  </si>
  <si>
    <t>C2. Knowledge Graph &amp; Master Person Index</t>
  </si>
  <si>
    <t>Backend — surfaces as the “360 Person View” panel embedded in every persona screen</t>
  </si>
  <si>
    <t>Normalized FHIR resources from all connectors; entity records needing identity resolution</t>
  </si>
  <si>
    <t>Resolved master person record; relationship graph (person–caregiver–provider–CBO–program); queryable API for every other module</t>
  </si>
  <si>
    <t>C3. Consent &amp; Governance Engine</t>
  </si>
  <si>
    <t>Consent Management screen (resident-facing) + Admin Console (governance view)</t>
  </si>
  <si>
    <t>Consent capture events, purpose-of-use tags, program/legal data-sharing agreements</t>
  </si>
  <si>
    <t>FHIR Consent resources; allow/deny access decisions enforced at query time; audit log entries</t>
  </si>
  <si>
    <t>C4. Agent Orchestration Engine</t>
  </si>
  <si>
    <t>Backend — surfaces as the “Recommended Actions / Agent Activity” panel on persona dashboards</t>
  </si>
  <si>
    <t>Knowledge graph state, gap/risk signals, persona workflow rules, governance guardrails from C3</t>
  </si>
  <si>
    <t>Recommended actions, auto-generated tasks/referrals, routed notifications, action audit trail</t>
  </si>
  <si>
    <t>C5. Identity, Security &amp; Platform Ops</t>
  </si>
  <si>
    <t>Admin Console — Platform Administration screen</t>
  </si>
  <si>
    <t>User directory, role definitions, security events, deployment artifacts, telemetry</t>
  </si>
  <si>
    <t>Authenticated sessions, role-based access tokens, uptime/observability dashboards, CI/CD deployments</t>
  </si>
  <si>
    <t>P1. Care Manager Workspace</t>
  </si>
  <si>
    <t>Persona Module</t>
  </si>
  <si>
    <t>Care Manager Dashboard / Worklist screen</t>
  </si>
  <si>
    <t>Person records and relationships (C2), gap-in-care flags, agent recommendations (C4)</t>
  </si>
  <si>
    <t>Prioritized worklist, updated care plan, tasks/referrals assigned to other stakeholders</t>
  </si>
  <si>
    <t>P2. Case Manager / Care Coordinator Configuration</t>
  </si>
  <si>
    <t>Case Manager Worklist screen (workflow variant of P1)</t>
  </si>
  <si>
    <t>Same as P1, filtered/configured for social-services and benefits workflow</t>
  </si>
  <si>
    <t>Case notes, service plan updates, benefit-program task assignments</t>
  </si>
  <si>
    <t>P5. CBO Referral &amp; Closed-Loop Module</t>
  </si>
  <si>
    <t>CBO Referral Inbox screen</t>
  </si>
  <si>
    <t>Referral requests generated by care manager or agent orchestration</t>
  </si>
  <si>
    <t>Referral acceptance/decline, service-delivery confirmation, closed-loop status back to the knowledge graph</t>
  </si>
  <si>
    <t>D1. Clinical EHR FHIR Connector</t>
  </si>
  <si>
    <t>Data Connector</t>
  </si>
  <si>
    <t>Backend — status shown in Admin Console</t>
  </si>
  <si>
    <t>EHR FHIR API feed (Patient, Condition, Observation, MedicationRequest, CarePlan)</t>
  </si>
  <si>
    <t>Normalized clinical FHIR resources into C1/C2</t>
  </si>
  <si>
    <t>D2. Claims &amp; Eligibility (X12 837/835) Connector</t>
  </si>
  <si>
    <t>X12 837/835 claims and eligibility files</t>
  </si>
  <si>
    <t>Normalized claims/eligibility FHIR resources into C1/C2</t>
  </si>
  <si>
    <t>D3. SDOH Manual Assessment Intake</t>
  </si>
  <si>
    <t>SDOH Assessment Entry Form (used by Care Manager and CBO screens)</t>
  </si>
  <si>
    <t>PRAPARE / AHC HRSN screening responses entered by care coordinators or CBOs</t>
  </si>
  <si>
    <t>Structured SDOH observations into the knowledge graph</t>
  </si>
  <si>
    <t>D5. CBO / Community Referral Network Connector</t>
  </si>
  <si>
    <t>Backend — feeds the P5 CBO Referral Inbox screen</t>
  </si>
  <si>
    <t>CBO network referral and status-update API calls</t>
  </si>
  <si>
    <t>Referral, Task, and ServiceRequest resources into the knowledge graph</t>
  </si>
  <si>
    <t>P3. Provider &amp; Specialist Module</t>
  </si>
  <si>
    <t>Provider EHR-embedded panel (SMART on FHIR launch)</t>
  </si>
  <si>
    <t>SMART on FHIR launch context from the host EHR; SDOH/BH context from the knowledge graph</t>
  </si>
  <si>
    <t>In-workflow context panel; referral orders and clinical actions written back to the knowledge graph</t>
  </si>
  <si>
    <t>P4. Resident / Consumer Engagement</t>
  </si>
  <si>
    <t>Resident Portal / Mobile App + SMS</t>
  </si>
  <si>
    <t>Care plan, consent preferences, task/notification queue from C3/C4</t>
  </si>
  <si>
    <t>Resident responses (confirmations, consent choices), self-reported updates</t>
  </si>
  <si>
    <t>D4. Behavioral Health + 42 CFR Part 2 Consent Connector</t>
  </si>
  <si>
    <t>BH EHR/assessment feed, gated by Part 2-compliant consent</t>
  </si>
  <si>
    <t>Normalized BH FHIR resources into C1/C2, access-gated by C3</t>
  </si>
  <si>
    <t>D6. Patient Access API Connector</t>
  </si>
  <si>
    <t>Backend — authorization step shown in Resident Portal (P4)</t>
  </si>
  <si>
    <t>Real-time payer FHIR API feed, member-authorized via OAuth2</t>
  </si>
  <si>
    <t>Live claims/coverage/clinical resources into C1/C2</t>
  </si>
  <si>
    <t>D7. Provider Access API Connector</t>
  </si>
  <si>
    <t>Real-time payer-to-provider FHIR API feed</t>
  </si>
  <si>
    <t>Live claims/utilization resources into C1/C2</t>
  </si>
  <si>
    <t>P6. County / MCO Program Administrator Analytics</t>
  </si>
  <si>
    <t>Program Analytics Dashboard</t>
  </si>
  <si>
    <t>Aggregated knowledge graph data plus EDW/APCD extracts</t>
  </si>
  <si>
    <t>Population-level outcome, utilization, and ROI reports</t>
  </si>
  <si>
    <t>P7. RHTP Director Command Center</t>
  </si>
  <si>
    <t>Director Command Center screen</t>
  </si>
  <si>
    <t>Cross-program metrics, platform health telemetry, module usage</t>
  </si>
  <si>
    <t>Executive oversight views, cross-program configuration controls</t>
  </si>
  <si>
    <t>P8. Value-Based Care / Contract Management Module</t>
  </si>
  <si>
    <t>VBC Contract Performance Dashboard</t>
  </si>
  <si>
    <t>Quality measure data, claims/EDW data, contract terms</t>
  </si>
  <si>
    <t>Contract performance scorecards, shared-savings/risk calculations</t>
  </si>
  <si>
    <t>D8. Medicaid Enterprise Data Warehouse (EDW) Connector</t>
  </si>
  <si>
    <t>Backend — feeds Program Analytics Dashboard (P6)</t>
  </si>
  <si>
    <t>State Medicaid EDW batch extracts</t>
  </si>
  <si>
    <t>Cross-MCO longitudinal claims/eligibility resources into C1/C2</t>
  </si>
  <si>
    <t>D9. All-Payer Claims Database (APCD) Connector</t>
  </si>
  <si>
    <t>State APCD batch extracts (Medicaid, Medicare, commercial claims)</t>
  </si>
  <si>
    <t>Cross-payer longitudinal claims resources into C1/C2</t>
  </si>
  <si>
    <t>D10. Public Health Connector (Immunization IIS + Vital Records)</t>
  </si>
  <si>
    <t>State/local IIS query responses; vital records batch feed</t>
  </si>
  <si>
    <t>Immunization and vital-status resources into C1/C2</t>
  </si>
  <si>
    <t>TOTAL — ALL MODULES</t>
  </si>
  <si>
    <t>RHTP Modular Implementation &amp; Cost Model</t>
  </si>
  <si>
    <t>Companion workbook to “RHTP Modular Implementation &amp; Cost Strategy”  |  Prepared by Rick Williams, IBM RHTP Team  |  July 2026</t>
  </si>
  <si>
    <t>Purpose and scope</t>
  </si>
  <si>
    <t>This workbook models the cost to build and run RHTP as a modular platform, sized against a single</t>
  </si>
  <si>
    <t>illustrative reference deployment: one state Medicaid MCO / county program, roughly 300,000 covered lives,</t>
  </si>
  <si>
    <t>phased from a single-cohort pilot to statewide scale. Every dollar figure, rate, and effort estimate is a</t>
  </si>
  <si>
    <t>placeholder for your team to replace with real IBM rate-card figures and actual client scope — the value of</t>
  </si>
  <si>
    <t>this workbook is the structure (modules, phasing, formulas), not the specific numbers.</t>
  </si>
  <si>
    <t>How the sheets fit together</t>
  </si>
  <si>
    <t>Rate Card — Illustrative onshore vs. offshore blended hourly rates by role. Replace with the real IBM rate card.</t>
  </si>
  <si>
    <t>Assumptions — Global levers: hours per FTE-month, blended company rates, and default onshore/offshore mix by module type.</t>
  </si>
  <si>
    <t>Module Build Cost — All 23 build modules (core platform, persona experiences, data connectors) with effort (FTE-months), onshore/offshore mix, and computed build cost.</t>
  </si>
  <si>
    <t>Phase Summary — Rolls module costs up into the four delivery phases, with duration and average concurrent team size.</t>
  </si>
  <si>
    <t>Run &amp; Maintain — Steady-state annual operating cost: support team, cloud/infrastructure, and software licensing, plus a ramp estimate for the Phase 1 pilot period.</t>
  </si>
  <si>
    <t>ROI Illustration — A worked example of how Phase 1 investment could be weighed against avoided-utilization savings for a pilot cohort. Methodology, not a projection.</t>
  </si>
  <si>
    <t>Timeline — Phase start/duration/end in months, used to build the Gantt-style roadmap graphic in the companion Word document.</t>
  </si>
  <si>
    <t>Color legend</t>
  </si>
  <si>
    <t>Blue text = an input or editable assumption — change this.</t>
  </si>
  <si>
    <t>Black text = a formula — do not overwrite with a hardcoded number.</t>
  </si>
  <si>
    <t>Green text = a link that pulls a value from another sheet.</t>
  </si>
  <si>
    <t>Yellow fill = a key assumption you should review and likely replace before this leaves IBM.</t>
  </si>
  <si>
    <t>All figures are illustrative placeholders prepared for internal strategy discussion. Validate with IBM Consulting's actual rate card, delivery estimating standards, and the target client's real population and contract scope before external use.</t>
  </si>
  <si>
    <t>Illustrative Role Rate Card (Loaded Hourly, USD)</t>
  </si>
  <si>
    <t>Placeholder rates — replace with the current IBM Consulting rate card for the engaged geography and labor category.</t>
  </si>
  <si>
    <t>Role</t>
  </si>
  <si>
    <t>Onshore Rate ($/hr)</t>
  </si>
  <si>
    <t>Offshore Rate ($/hr)</t>
  </si>
  <si>
    <t>Notes</t>
  </si>
  <si>
    <t>Engagement / Program Lead</t>
  </si>
  <si>
    <t>Overall delivery lead; typically onshore-heavy</t>
  </si>
  <si>
    <t>Solution Architect (FHIR / Knowledge Graph)</t>
  </si>
  <si>
    <t>Core platform architecture</t>
  </si>
  <si>
    <t>AI / Agent Orchestration Engineer</t>
  </si>
  <si>
    <t>Builds and tunes the agent orchestration layer</t>
  </si>
  <si>
    <t>Data / Integration Engineer</t>
  </si>
  <si>
    <t>Connectors, ETL, FHIR Bulk Data pipelines</t>
  </si>
  <si>
    <t>Platform / DevSecOps Engineer</t>
  </si>
  <si>
    <t>Hosting, CI/CD, observability, security controls</t>
  </si>
  <si>
    <t>UX / Product Designer</t>
  </si>
  <si>
    <t>Persona-specific experience design</t>
  </si>
  <si>
    <t>QA / Test Engineer</t>
  </si>
  <si>
    <t>Functional, integration, and regression testing</t>
  </si>
  <si>
    <t>Clinical / Business SME</t>
  </si>
  <si>
    <t>n/a</t>
  </si>
  <si>
    <t>Care management &amp; SDOH subject-matter input; typically onshore only</t>
  </si>
  <si>
    <t>Change Management / Training</t>
  </si>
  <si>
    <t>End-user adoption, training materials, rollout support</t>
  </si>
  <si>
    <t>Support Analyst (L1/L2)</t>
  </si>
  <si>
    <t>Steady-state helpdesk and monitoring</t>
  </si>
  <si>
    <t>Global Assumptions</t>
  </si>
  <si>
    <t>Levers used throughout the Module Build Cost, Phase Summary, and Run &amp; Maintain sheets.</t>
  </si>
  <si>
    <t>Assumption</t>
  </si>
  <si>
    <t>Value</t>
  </si>
  <si>
    <t>Note</t>
  </si>
  <si>
    <t>Hours per FTE-month</t>
  </si>
  <si>
    <t>Standard full-time monthly billable hours</t>
  </si>
  <si>
    <t>Months per year</t>
  </si>
  <si>
    <t>Company blended rates (used for module-level build costing)</t>
  </si>
  <si>
    <t>Blended onshore rate ($/hr)</t>
  </si>
  <si>
    <t>Approximate team-weighted average across Rate Card roles; refine once the Phase 1 team roster is set</t>
  </si>
  <si>
    <t>Blended offshore rate ($/hr)</t>
  </si>
  <si>
    <t>Default onshore mix by module type (editable per-row in Module Build Cost)</t>
  </si>
  <si>
    <t>Core Platform modules — % onshore</t>
  </si>
  <si>
    <t>Architecture-heavy; more senior, onshore-weighted</t>
  </si>
  <si>
    <t>Persona Module modules — % onshore</t>
  </si>
  <si>
    <t>Data Connector modules — % onshore</t>
  </si>
  <si>
    <t>Integration engineering can be leveraged more heavily offshore</t>
  </si>
  <si>
    <t>AI-assisted (Bob/Claude) build acceleration by module type</t>
  </si>
  <si>
    <t>Core Platform modules — Bob hours as % of dev-team hours</t>
  </si>
  <si>
    <t>Architecture-, security-, and compliance-heavy; human review/validation remains the bottleneck even with AI-assisted coding</t>
  </si>
  <si>
    <t>Persona Module modules — Bob hours as % of dev-team hours</t>
  </si>
  <si>
    <t>UI/workflow-heavy screens; AI pair-development accelerates scaffolding, forms, and CRUD logic significantly</t>
  </si>
  <si>
    <t>Data Connector modules — Bob hours as % of dev-team hours</t>
  </si>
  <si>
    <t>Mapping/ETL code generates quickly with AI; hours remain bounded by testing against real source systems</t>
  </si>
  <si>
    <t>Module Build Cost — All Phases</t>
  </si>
  <si>
    <t>Effort (FTE-months) and onshore/offshore mix are inputs; hours and cost columns are formulas. Sized against the reference 300K-covered-lives deployment.</t>
  </si>
  <si>
    <t>FTE-Months</t>
  </si>
  <si>
    <t>% Onshore</t>
  </si>
  <si>
    <t>% Offshore</t>
  </si>
  <si>
    <t>Onshore Hrs</t>
  </si>
  <si>
    <t>Offshore Hrs</t>
  </si>
  <si>
    <t>Onshore Cost</t>
  </si>
  <si>
    <t>Offshore Cost</t>
  </si>
  <si>
    <t>Total Build Cost</t>
  </si>
  <si>
    <t>C1. FHIR-Native Integration &amp; Ingestion Layer (real-time API gateway + batch ETL / Bulk Data)</t>
  </si>
  <si>
    <t>C3. Consent &amp; Governance Engine (FHIR Consent, purpose-of-use, audit)</t>
  </si>
  <si>
    <t>C4. Agent Orchestration Engine (reasoning, workflow, guardrails)</t>
  </si>
  <si>
    <t>C5. Identity, Security &amp; Platform Ops (IAM, hosting, DevSecOps, observability)</t>
  </si>
  <si>
    <t>P1. Care Manager Workspace (worklist, gaps-in-care, root-cause views)</t>
  </si>
  <si>
    <t>P2. Case Manager / Care Coordinator Configuration (workflow variant)</t>
  </si>
  <si>
    <t>P5. Community-Based Organization (CBO) Referral &amp; Closed-Loop Module</t>
  </si>
  <si>
    <t>D3. SDOH Manual Assessment Intake (PRAPARE / AHC HRSN)</t>
  </si>
  <si>
    <t>P3. Provider &amp; Specialist Module (SMART on FHIR, EHR-embedded)</t>
  </si>
  <si>
    <t>P4. Resident / Consumer Engagement (portal + SMS, tiered autonomy)</t>
  </si>
  <si>
    <t>D6. Patient Access API Connector (real-time, consent-based)</t>
  </si>
  <si>
    <t>D7. Provider Access API Connector (real-time)</t>
  </si>
  <si>
    <t>P7. RHTP Director Command Center (cross-program oversight &amp; admin)</t>
  </si>
  <si>
    <t>TOTAL — ALL PHASES</t>
  </si>
  <si>
    <t>Phase Summary — Cost, Duration, and Team Size</t>
  </si>
  <si>
    <t>Module costs roll up automatically from the Module Build Cost sheet. Duration and Phase 0 discovery cost are inputs.</t>
  </si>
  <si>
    <t>Description</t>
  </si>
  <si>
    <t>Duration (months)</t>
  </si>
  <si>
    <t># Modules</t>
  </si>
  <si>
    <t>Total FTE-Months</t>
  </si>
  <si>
    <t>Avg. Concurrent FTE</t>
  </si>
  <si>
    <t>Phase 0</t>
  </si>
  <si>
    <t>Discovery &amp; Foundation Setup (environment, security baseline, cohort selection, integration design)</t>
  </si>
  <si>
    <t>n/a — fixed-scope</t>
  </si>
  <si>
    <t>Phase 1</t>
  </si>
  <si>
    <t>MVP / First Value — core platform + Care Manager &amp; CBO workflow + 4 priority connectors, one high-risk cohort</t>
  </si>
  <si>
    <t>Phase 2</t>
  </si>
  <si>
    <t>Expand Reach &amp; Real-Time — Provider &amp; Resident modules, BH connector, Patient/Provider Access APIs</t>
  </si>
  <si>
    <t>Phase 3</t>
  </si>
  <si>
    <t>Program &amp; Population Scale — county/MCO analytics, RHTP Director console, VBC module, EDW/APCD/public health</t>
  </si>
  <si>
    <t>TOTAL</t>
  </si>
  <si>
    <t>Annual Run &amp; Maintain Cost — Steady State</t>
  </si>
  <si>
    <t>Steady-state support team once all phases are live, plus infrastructure and licensing. Rates link to the Rate Card sheet.</t>
  </si>
  <si>
    <t>FTE</t>
  </si>
  <si>
    <t>Onshore Rate</t>
  </si>
  <si>
    <t>Offshore Rate</t>
  </si>
  <si>
    <t>Annual Hours</t>
  </si>
  <si>
    <t>Annual Labor Cost</t>
  </si>
  <si>
    <t>Subtotal — Steady-State Labor</t>
  </si>
  <si>
    <t>Infrastructure, Cloud &amp; Licensing</t>
  </si>
  <si>
    <t>Item</t>
  </si>
  <si>
    <t>Annual Cost</t>
  </si>
  <si>
    <t>Cloud hosting &amp; compute (incl. agent/LLM inference)</t>
  </si>
  <si>
    <t>$50K/month placeholder — replace with real workload sizing</t>
  </si>
  <si>
    <t>FHIR server, knowledge graph DB &amp; integration middleware licensing</t>
  </si>
  <si>
    <t>Illustrative annual license/subscription placeholder</t>
  </si>
  <si>
    <t>Monitoring, security &amp; observability tooling</t>
  </si>
  <si>
    <t>Illustrative annual placeholder</t>
  </si>
  <si>
    <t>Subtotal — Infrastructure &amp; Licensing</t>
  </si>
  <si>
    <t>TOTAL ANNUAL RUN COST — STEADY STATE</t>
  </si>
  <si>
    <t>Phase 1 pilot ramp — % of steady-state run cost</t>
  </si>
  <si>
    <t>Smaller team, one cohort, fewer connectors live during Phase 1</t>
  </si>
  <si>
    <t>Phase 1 partial-year run cost</t>
  </si>
  <si>
    <t>Phase 1 ROI Illustration — Worked Example</t>
  </si>
  <si>
    <t>A methodology, not a projection: shows how Phase 1 investment could be weighed against avoided-utilization savings for a defined pilot cohort. Replace every blue input with the target program's real baseline data.</t>
  </si>
  <si>
    <t>Input</t>
  </si>
  <si>
    <t>Pilot cohort size (members)</t>
  </si>
  <si>
    <t>Illustrative high-risk / high-SDOH-need cohort within the reference deployment</t>
  </si>
  <si>
    <t>Baseline avoidable ED visits per member per year</t>
  </si>
  <si>
    <t>Illustrative literature-informed placeholder — replace with the program's real baseline</t>
  </si>
  <si>
    <t>Average avoidable cost per ED visit ($)</t>
  </si>
  <si>
    <t>Illustrative placeholder</t>
  </si>
  <si>
    <t>Target reduction in avoidable utilization</t>
  </si>
  <si>
    <t>Illustrative, directional — needs validation against comparable care-coordination programs</t>
  </si>
  <si>
    <t>Calculated</t>
  </si>
  <si>
    <t>Formula logic</t>
  </si>
  <si>
    <t>Baseline avoidable ED visits (cohort)</t>
  </si>
  <si>
    <t>Cohort size × baseline rate</t>
  </si>
  <si>
    <t>Avoided visits at target reduction</t>
  </si>
  <si>
    <t>Baseline visits × target reduction %</t>
  </si>
  <si>
    <t>Gross annual avoided-cost savings</t>
  </si>
  <si>
    <t>Avoided visits × avg cost per visit</t>
  </si>
  <si>
    <t>Phase 1 build cost (link)</t>
  </si>
  <si>
    <t>From Phase Summary</t>
  </si>
  <si>
    <t>Phase 1 partial-year run cost (link)</t>
  </si>
  <si>
    <t>From Run &amp; Maintain</t>
  </si>
  <si>
    <t>Total Phase 1 investment</t>
  </si>
  <si>
    <t>Build + partial-year run</t>
  </si>
  <si>
    <t>Simple payback (years, illustrative)</t>
  </si>
  <si>
    <t>Phase 1 investment ÷ gross annual savings</t>
  </si>
  <si>
    <t>At full population scale (illustrative)</t>
  </si>
  <si>
    <t>Population scale factor at full rollout (× pilot cohort)</t>
  </si>
  <si>
    <t>E.g., pilot cohort expands from ~7,500 to ~30,000 high-risk members across the full reference population</t>
  </si>
  <si>
    <t>Full-scale gross annual avoided-cost savings</t>
  </si>
  <si>
    <t>Phase 1 pilot savings × scale factor</t>
  </si>
  <si>
    <t>Total platform investment (build, all phases + Phase 0)</t>
  </si>
  <si>
    <t>From Phase Summary total</t>
  </si>
  <si>
    <t>Plus one year steady-state run cost</t>
  </si>
  <si>
    <t>From Run &amp; Maintain total</t>
  </si>
  <si>
    <t>Total investment through Year 1 at full scale</t>
  </si>
  <si>
    <t>Build (all phases) + one year of run</t>
  </si>
  <si>
    <t>Simple payback at full scale (years, illustrative)</t>
  </si>
  <si>
    <t>Full-scale investment ÷ full-scale annual savings</t>
  </si>
  <si>
    <t>This is a directional planning tool, not a savings guarantee. Validate baseline utilization, avoidable-cost, and expected-reduction assumptions against the target program's actual claims history before using these numbers externally.</t>
  </si>
  <si>
    <t>Delivery Timeline (Months from Kickoff)</t>
  </si>
  <si>
    <t>Feeds the roadmap graphic in the companion Word document. Durations link to Phase Summary.</t>
  </si>
  <si>
    <t>Start Month</t>
  </si>
  <si>
    <t>End Month</t>
  </si>
  <si>
    <t>First meaningful ROI signal targeted during Phase 1 / early Phase 2 (approx. months 5–9) — well before full Phase 3 population scale.</t>
  </si>
  <si>
    <t>Approach B — Consulting Asset + Ecosystem Partner Model</t>
  </si>
  <si>
    <t>Same 23 modules. “Partner leverage %” estimates the effort avoided by integrating an established partner platform (e.g., Unite Us for CBO/community referral, an Infor Cloverleaf-class integration engine for clinical/claims interfaces) via time-boxed “connect-a-thon” sprints instead of custom-building. Core IP modules (knowledge graph, agent orchestration) keep low leverage on purpose — that's what stays IBM-differentiated.</t>
  </si>
  <si>
    <t>Approach A
FTE-Months</t>
  </si>
  <si>
    <t>Partner
Leverage %</t>
  </si>
  <si>
    <t>Approach B
FTE-Months</t>
  </si>
  <si>
    <t>Approach A
Cost</t>
  </si>
  <si>
    <t>Approach B
Cost</t>
  </si>
  <si>
    <t>Phase rollup — Approach B</t>
  </si>
  <si>
    <t>Approach A Cost</t>
  </si>
  <si>
    <t>Approach B Cost</t>
  </si>
  <si>
    <t>$ Reduction</t>
  </si>
  <si>
    <t>% Reduction</t>
  </si>
  <si>
    <t>IBM asset investment vs. first-client incremental cost</t>
  </si>
  <si>
    <t>The reusable IP asset — funded by IBM once, before any client is signed — covers the core platform plus the four most universal Phase 1 connectors and a generic reference Care Manager workspace. Client-specific configuration (case-manager variant, CBO/Unite Us tenant setup, Phase 0 discovery, Phases 2–3) is priced per engagement.</t>
  </si>
  <si>
    <t>IBM asset build (Core Platform + P1 + D1/D2/D3/D5)</t>
  </si>
  <si>
    <t>First-client Phase 1 configuration (P2 case-manager variant + P5 Unite Us tenant setup)</t>
  </si>
  <si>
    <t>First-client Phase 0 discovery (reduced — partner onboarding playbook already exists)</t>
  </si>
  <si>
    <t>First client — total incremental cost to MVP (on top of the asset)</t>
  </si>
  <si>
    <t>Approach B — Run &amp; Maintain (Steady State)</t>
  </si>
  <si>
    <t>Approach B Annual Cost</t>
  </si>
  <si>
    <t>Support labor (reduced — fewer bespoke connectors to maintain)</t>
  </si>
  <si>
    <t>Cloud hosting &amp; compute</t>
  </si>
  <si>
    <t>IBM-built licensing &amp; tooling (reduced scope)</t>
  </si>
  <si>
    <t>Monitoring, security &amp; observability</t>
  </si>
  <si>
    <t>Partner platform fees (Unite Us network access + Cloverleaf-class engine licensing)</t>
  </si>
  <si>
    <t>TOTAL — Approach B Steady State</t>
  </si>
  <si>
    <t>First client Phase 1 partial-year run cost</t>
  </si>
  <si>
    <t>Approach A vs. Approach B — Side-by-Side</t>
  </si>
  <si>
    <t>Approach A: full custom build. Approach B: reusable IBM IP asset + ecosystem partner connectors (Unite Us, Infor Cloverleaf-class integration engine) via connect-a-thon sprints. All figures link to the sheets above.</t>
  </si>
  <si>
    <t>Metric</t>
  </si>
  <si>
    <t>Approach A
(Full Custom Build)</t>
  </si>
  <si>
    <t>Approach B
(Asset + Partners)</t>
  </si>
  <si>
    <t>Difference</t>
  </si>
  <si>
    <t>Total build cost, all phases</t>
  </si>
  <si>
    <t>Phase 0 + Phase 1 / MVP build cost</t>
  </si>
  <si>
    <t>IBM upfront asset investment (pre-client)</t>
  </si>
  <si>
    <t>n/a — not applicable</t>
  </si>
  <si>
    <t>First client's incremental cost to MVP (on top of the asset)</t>
  </si>
  <si>
    <t>Total duration, all phases (months)</t>
  </si>
  <si>
    <t>Time to first live functionality (months)</t>
  </si>
  <si>
    <t>Annual run cost, steady state</t>
  </si>
  <si>
    <t>ROI comparison (same pilot-cohort assumptions as the ROI Illustration tab)</t>
  </si>
  <si>
    <t>Approach A</t>
  </si>
  <si>
    <t>Approach B</t>
  </si>
  <si>
    <t>Gross annual avoided-cost savings (pilot cohort)</t>
  </si>
  <si>
    <t>Total Phase 1 investment (asset + first client, build + run ramp)</t>
  </si>
  <si>
    <t xml:space="preserve">  — of which, first client's own incremental cash cost</t>
  </si>
  <si>
    <t>Simple payback — full investment basis (years)</t>
  </si>
  <si>
    <t>Simple payback — first client's own cash cost only (years)</t>
  </si>
  <si>
    <t>n/a — asset not separated under Approach A</t>
  </si>
  <si>
    <t>Key trade-off: Approach B trades some IBM-owned IP and margin on the CBO/community-referral and interoperability-engine layers for materially lower upfront cost, a faster timeline, and a much lower bar for the first client to say yes. It also introduces partner dependency (roadmap, commercial terms, data-sharing agreements with Unite Us and the integration-engine vendor) as a new risk to manage.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</si>
</sst>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quot;#,##0\);\-"/>
    <numFmt numFmtId="165" formatCode="#,##0.0"/>
    <numFmt numFmtId="166" formatCode="0.0%"/>
    <numFmt numFmtId="167" formatCode="0.0\x"/>
  </numFmts>
  <fonts count="47" x14ac:knownFonts="1">
    <font>
      <sz val="11"/>
      <color theme="1"/>
      <name val="Calibri"/>
      <family val="2"/>
      <charset val="1"/>
    </font>
    <font>
      <b/>
      <sz val="15"/>
      <color rgb="FF0F3D5C"/>
      <name val="Arial"/>
      <family val="2"/>
      <charset val="1"/>
    </font>
    <font>
      <i/>
      <sz val="10"/>
      <color rgb="FF595959"/>
      <name val="Arial"/>
      <family val="2"/>
      <charset val="1"/>
    </font>
    <font>
      <b/>
      <sz val="12"/>
      <color rgb="FF0F62FE"/>
      <name val="Arial"/>
      <family val="2"/>
      <charset val="1"/>
    </font>
    <font>
      <sz val="10"/>
      <name val="Arial"/>
      <family val="2"/>
      <charset val="1"/>
    </font>
    <font>
      <b/>
      <sz val="10"/>
      <color rgb="FF0000FF"/>
      <name val="Arial"/>
      <family val="2"/>
      <charset val="1"/>
    </font>
    <font>
      <b/>
      <sz val="10"/>
      <color rgb="FF000000"/>
      <name val="Arial"/>
      <family val="2"/>
      <charset val="1"/>
    </font>
    <font>
      <b/>
      <sz val="10"/>
      <color rgb="FF008000"/>
      <name val="Arial"/>
      <family val="2"/>
      <charset val="1"/>
    </font>
    <font>
      <b/>
      <sz val="10"/>
      <name val="Arial"/>
      <family val="2"/>
      <charset val="1"/>
    </font>
    <font>
      <i/>
      <sz val="9.5"/>
      <color rgb="FF595959"/>
      <name val="Arial"/>
      <family val="2"/>
      <charset val="1"/>
    </font>
    <font>
      <b/>
      <sz val="10"/>
      <color rgb="FFFFFFFF"/>
      <name val="Arial"/>
      <family val="2"/>
      <charset val="1"/>
    </font>
    <font>
      <sz val="10"/>
      <color rgb="FF0000FF"/>
      <name val="Arial"/>
      <family val="2"/>
      <charset val="1"/>
    </font>
    <font>
      <i/>
      <sz val="10"/>
      <color rgb="FF808080"/>
      <name val="Arial"/>
      <family val="2"/>
      <charset val="1"/>
    </font>
    <font>
      <b/>
      <sz val="10.5"/>
      <color rgb="FF0F62FE"/>
      <name val="Arial"/>
      <family val="2"/>
      <charset val="1"/>
    </font>
    <font>
      <b/>
      <sz val="9.5"/>
      <color rgb="FFFFFFFF"/>
      <name val="Arial"/>
      <family val="2"/>
      <charset val="1"/>
    </font>
    <font>
      <sz val="9.5"/>
      <name val="Arial"/>
      <family val="2"/>
      <charset val="1"/>
    </font>
    <font>
      <sz val="9.5"/>
      <color rgb="FF0000FF"/>
      <name val="Arial"/>
      <family val="2"/>
      <charset val="1"/>
    </font>
    <font>
      <sz val="9.5"/>
      <color rgb="FF008000"/>
      <name val="Arial"/>
      <family val="2"/>
      <charset val="1"/>
    </font>
    <font>
      <sz val="9.5"/>
      <color rgb="FF000000"/>
      <name val="Arial"/>
      <family val="2"/>
      <charset val="1"/>
    </font>
    <font>
      <b/>
      <sz val="9.5"/>
      <name val="Arial"/>
      <family val="2"/>
      <charset val="1"/>
    </font>
    <font>
      <i/>
      <sz val="9.5"/>
      <color rgb="FF808080"/>
      <name val="Arial"/>
      <family val="2"/>
      <charset val="1"/>
    </font>
    <font>
      <sz val="10"/>
      <color rgb="FF000000"/>
      <name val="Arial"/>
      <family val="2"/>
      <charset val="1"/>
    </font>
    <font>
      <b/>
      <sz val="11"/>
      <color rgb="FF0F62FE"/>
      <name val="Arial"/>
      <family val="2"/>
      <charset val="1"/>
    </font>
    <font>
      <i/>
      <sz val="9"/>
      <color rgb="FF595959"/>
      <name val="Arial"/>
      <family val="2"/>
      <charset val="1"/>
    </font>
    <font>
      <b/>
      <sz val="11"/>
      <color rgb="FF0F3D5C"/>
      <name val="Arial"/>
      <family val="2"/>
      <charset val="1"/>
    </font>
    <font>
      <b/>
      <sz val="11"/>
      <name val="Arial"/>
      <family val="2"/>
      <charset val="1"/>
    </font>
    <font>
      <sz val="10"/>
      <color rgb="FF008000"/>
      <name val="Arial"/>
      <family val="2"/>
      <charset val="1"/>
    </font>
    <font>
      <b/>
      <sz val="9"/>
      <color rgb="FFFFFFFF"/>
      <name val="Arial"/>
      <family val="2"/>
      <charset val="1"/>
    </font>
    <font>
      <sz val="9"/>
      <name val="Arial"/>
      <family val="2"/>
      <charset val="1"/>
    </font>
    <font>
      <sz val="9"/>
      <color rgb="FF008000"/>
      <name val="Arial"/>
      <family val="2"/>
      <charset val="1"/>
    </font>
    <font>
      <sz val="9"/>
      <color rgb="FF0000FF"/>
      <name val="Arial"/>
      <family val="2"/>
      <charset val="1"/>
    </font>
    <font>
      <sz val="9"/>
      <color rgb="FF000000"/>
      <name val="Arial"/>
      <family val="2"/>
      <charset val="1"/>
    </font>
    <font>
      <b/>
      <sz val="9"/>
      <name val="Arial"/>
      <family val="2"/>
      <charset val="1"/>
    </font>
    <font>
      <i/>
      <sz val="9"/>
      <name val="Arial"/>
      <family val="2"/>
      <charset val="1"/>
    </font>
    <font>
      <i/>
      <sz val="9"/>
      <color rgb="FF808080"/>
      <name val="Arial"/>
      <family val="2"/>
      <charset val="1"/>
    </font>
    <font>
      <b/>
      <sz val="15"/>
      <color rgb="FF0F3D5C"/>
      <name val="Arial"/>
      <family val="2"/>
    </font>
    <font>
      <i/>
      <sz val="9.5"/>
      <color rgb="FF595959"/>
      <name val="Arial"/>
      <family val="2"/>
    </font>
    <font>
      <b/>
      <sz val="10"/>
      <color rgb="FFFFFFFF"/>
      <name val="Arial"/>
      <family val="2"/>
    </font>
    <font>
      <sz val="9"/>
      <name val="Arial"/>
      <family val="2"/>
    </font>
    <font>
      <b/>
      <sz val="10.5"/>
      <color rgb="FF0F62FE"/>
      <name val="Arial"/>
      <family val="2"/>
    </font>
    <font>
      <sz val="11"/>
      <name val="Calibri"/>
      <family val="2"/>
    </font>
    <font>
      <sz val="10"/>
      <color rgb="FF0000FF"/>
      <name val="Arial"/>
      <family val="2"/>
    </font>
    <font>
      <sz val="9.5"/>
      <color rgb="FF595959"/>
      <name val="Arial"/>
      <family val="2"/>
    </font>
    <font>
      <b/>
      <sz val="10"/>
      <color rgb="FFFFFFFF"/>
      <name val="Arial"/>
      <family val="2"/>
    </font>
    <font>
      <sz val="9"/>
      <color rgb="FF000000"/>
      <name val="Arial"/>
      <family val="2"/>
    </font>
    <font>
      <b/>
      <sz val="10"/>
      <name val="Arial"/>
      <family val="2"/>
    </font>
    <font>
      <b/>
      <sz val="9.5"/>
      <name val="Arial"/>
      <family val="2"/>
    </font>
  </fonts>
  <fills count="13">
    <fill>
      <patternFill patternType="none"/>
    </fill>
    <fill>
      <patternFill patternType="gray125"/>
    </fill>
    <fill>
      <patternFill patternType="solid">
        <fgColor rgb="FFFFFF00"/>
        <bgColor rgb="FFFFFF00"/>
      </patternFill>
    </fill>
    <fill>
      <patternFill patternType="solid">
        <fgColor rgb="FF0F62FE"/>
        <bgColor rgb="FF3366FF"/>
      </patternFill>
    </fill>
    <fill>
      <patternFill patternType="solid">
        <fgColor rgb="FFFFFFFF"/>
        <bgColor rgb="FFF4F4F4"/>
      </patternFill>
    </fill>
    <fill>
      <patternFill patternType="solid">
        <fgColor rgb="FFF4F4F4"/>
        <bgColor rgb="FFEDF5FF"/>
      </patternFill>
    </fill>
    <fill>
      <patternFill patternType="solid">
        <fgColor rgb="FFEDF5FF"/>
        <bgColor rgb="FFF4F4F4"/>
      </patternFill>
    </fill>
    <fill>
      <patternFill patternType="solid">
        <fgColor rgb="FFD9E8FF"/>
        <bgColor rgb="FFEDF5FF"/>
      </patternFill>
    </fill>
    <fill>
      <patternFill patternType="solid">
        <fgColor rgb="FFFFFF00"/>
      </patternFill>
    </fill>
    <fill>
      <patternFill patternType="solid">
        <fgColor rgb="FF0F62FE"/>
      </patternFill>
    </fill>
    <fill>
      <patternFill patternType="solid">
        <fgColor rgb="FFFFFFFF"/>
      </patternFill>
    </fill>
    <fill>
      <patternFill patternType="solid">
        <fgColor rgb="FFF4F4F4"/>
      </patternFill>
    </fill>
    <fill>
      <patternFill patternType="solid">
        <fgColor rgb="FFEDF5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xf numFmtId="0" fontId="9" fillId="0" borderId="0" xfId="0" applyFont="1" applyAlignment="1">
      <alignment wrapText="1"/>
    </xf>
    <xf numFmtId="0" fontId="10" fillId="3" borderId="1" xfId="0" applyFont="1" applyFill="1" applyBorder="1" applyAlignment="1">
      <alignment horizontal="center" vertical="center" wrapText="1"/>
    </xf>
    <xf numFmtId="0" fontId="4" fillId="0" borderId="1" xfId="0" applyFont="1" applyBorder="1" applyAlignment="1">
      <alignment vertical="center" wrapText="1"/>
    </xf>
    <xf numFmtId="164" fontId="11" fillId="2" borderId="1" xfId="0" applyNumberFormat="1" applyFont="1" applyFill="1" applyBorder="1" applyAlignment="1">
      <alignment vertical="center" wrapText="1"/>
    </xf>
    <xf numFmtId="0" fontId="9" fillId="0" borderId="1" xfId="0" applyFont="1" applyBorder="1" applyAlignment="1">
      <alignment vertical="center" wrapText="1"/>
    </xf>
    <xf numFmtId="0" fontId="12" fillId="0" borderId="1" xfId="0" applyFont="1" applyBorder="1" applyAlignment="1">
      <alignment vertical="center" wrapText="1"/>
    </xf>
    <xf numFmtId="165" fontId="11" fillId="2" borderId="0" xfId="0" applyNumberFormat="1" applyFont="1" applyFill="1"/>
    <xf numFmtId="0" fontId="9" fillId="0" borderId="0" xfId="0" applyFont="1"/>
    <xf numFmtId="165" fontId="11" fillId="0" borderId="0" xfId="0" applyNumberFormat="1" applyFont="1"/>
    <xf numFmtId="0" fontId="13" fillId="0" borderId="0" xfId="0" applyFont="1"/>
    <xf numFmtId="164" fontId="11" fillId="2" borderId="0" xfId="0" applyNumberFormat="1" applyFont="1" applyFill="1"/>
    <xf numFmtId="166" fontId="11" fillId="2" borderId="0" xfId="0" applyNumberFormat="1" applyFont="1" applyFill="1"/>
    <xf numFmtId="0" fontId="14" fillId="3" borderId="1" xfId="0" applyFont="1" applyFill="1" applyBorder="1" applyAlignment="1">
      <alignment horizontal="center" vertical="center" wrapText="1"/>
    </xf>
    <xf numFmtId="0" fontId="15" fillId="4" borderId="1" xfId="0" applyFont="1" applyFill="1" applyBorder="1"/>
    <xf numFmtId="0" fontId="15" fillId="4" borderId="1" xfId="0" applyFont="1" applyFill="1" applyBorder="1" applyAlignment="1">
      <alignment vertical="center" wrapText="1"/>
    </xf>
    <xf numFmtId="0" fontId="15" fillId="4" borderId="1" xfId="0" applyFont="1" applyFill="1" applyBorder="1" applyAlignment="1">
      <alignment horizontal="center"/>
    </xf>
    <xf numFmtId="165" fontId="16" fillId="4" borderId="1" xfId="0" applyNumberFormat="1" applyFont="1" applyFill="1" applyBorder="1"/>
    <xf numFmtId="166" fontId="17" fillId="4" borderId="1" xfId="0" applyNumberFormat="1" applyFont="1" applyFill="1" applyBorder="1"/>
    <xf numFmtId="166" fontId="18" fillId="4" borderId="1" xfId="0" applyNumberFormat="1" applyFont="1" applyFill="1" applyBorder="1"/>
    <xf numFmtId="165" fontId="18" fillId="4" borderId="1" xfId="0" applyNumberFormat="1" applyFont="1" applyFill="1" applyBorder="1"/>
    <xf numFmtId="164" fontId="18" fillId="4" borderId="1" xfId="0" applyNumberFormat="1" applyFont="1" applyFill="1" applyBorder="1"/>
    <xf numFmtId="164" fontId="19" fillId="4" borderId="1" xfId="0" applyNumberFormat="1" applyFont="1" applyFill="1" applyBorder="1"/>
    <xf numFmtId="0" fontId="15" fillId="5" borderId="1" xfId="0" applyFont="1" applyFill="1" applyBorder="1"/>
    <xf numFmtId="0" fontId="15" fillId="5" borderId="1" xfId="0" applyFont="1" applyFill="1" applyBorder="1" applyAlignment="1">
      <alignment vertical="center" wrapText="1"/>
    </xf>
    <xf numFmtId="0" fontId="15" fillId="5" borderId="1" xfId="0" applyFont="1" applyFill="1" applyBorder="1" applyAlignment="1">
      <alignment horizontal="center"/>
    </xf>
    <xf numFmtId="165" fontId="16" fillId="5" borderId="1" xfId="0" applyNumberFormat="1" applyFont="1" applyFill="1" applyBorder="1"/>
    <xf numFmtId="166" fontId="17" fillId="5" borderId="1" xfId="0" applyNumberFormat="1" applyFont="1" applyFill="1" applyBorder="1"/>
    <xf numFmtId="166" fontId="18" fillId="5" borderId="1" xfId="0" applyNumberFormat="1" applyFont="1" applyFill="1" applyBorder="1"/>
    <xf numFmtId="165" fontId="18" fillId="5" borderId="1" xfId="0" applyNumberFormat="1" applyFont="1" applyFill="1" applyBorder="1"/>
    <xf numFmtId="164" fontId="18" fillId="5" borderId="1" xfId="0" applyNumberFormat="1" applyFont="1" applyFill="1" applyBorder="1"/>
    <xf numFmtId="164" fontId="19" fillId="5" borderId="1" xfId="0" applyNumberFormat="1" applyFont="1" applyFill="1" applyBorder="1"/>
    <xf numFmtId="0" fontId="0" fillId="6" borderId="1" xfId="0" applyFill="1" applyBorder="1"/>
    <xf numFmtId="0" fontId="8" fillId="6" borderId="1" xfId="0" applyFont="1" applyFill="1" applyBorder="1"/>
    <xf numFmtId="165" fontId="19" fillId="6" borderId="1" xfId="0" applyNumberFormat="1" applyFont="1" applyFill="1" applyBorder="1"/>
    <xf numFmtId="164" fontId="19" fillId="6" borderId="1" xfId="0" applyNumberFormat="1" applyFont="1" applyFill="1" applyBorder="1"/>
    <xf numFmtId="0" fontId="8" fillId="0" borderId="0" xfId="0" applyFont="1"/>
    <xf numFmtId="0" fontId="15" fillId="0" borderId="0" xfId="0" applyFont="1" applyAlignment="1">
      <alignment vertical="center" wrapText="1"/>
    </xf>
    <xf numFmtId="0" fontId="20" fillId="0" borderId="0" xfId="0" applyFont="1"/>
    <xf numFmtId="0" fontId="8" fillId="4" borderId="1" xfId="0" applyFont="1" applyFill="1" applyBorder="1"/>
    <xf numFmtId="165" fontId="11" fillId="2" borderId="1" xfId="0" applyNumberFormat="1" applyFont="1" applyFill="1" applyBorder="1"/>
    <xf numFmtId="1" fontId="21" fillId="4" borderId="1" xfId="0" applyNumberFormat="1" applyFont="1" applyFill="1" applyBorder="1"/>
    <xf numFmtId="165" fontId="21" fillId="4" borderId="1" xfId="0" applyNumberFormat="1" applyFont="1" applyFill="1" applyBorder="1"/>
    <xf numFmtId="164" fontId="21" fillId="4" borderId="1" xfId="0" applyNumberFormat="1" applyFont="1" applyFill="1" applyBorder="1"/>
    <xf numFmtId="0" fontId="8" fillId="5" borderId="1" xfId="0" applyFont="1" applyFill="1" applyBorder="1"/>
    <xf numFmtId="1" fontId="21" fillId="5" borderId="1" xfId="0" applyNumberFormat="1" applyFont="1" applyFill="1" applyBorder="1"/>
    <xf numFmtId="165" fontId="21" fillId="5" borderId="1" xfId="0" applyNumberFormat="1" applyFont="1" applyFill="1" applyBorder="1"/>
    <xf numFmtId="164" fontId="21" fillId="5" borderId="1" xfId="0" applyNumberFormat="1" applyFont="1" applyFill="1" applyBorder="1"/>
    <xf numFmtId="165" fontId="8" fillId="6" borderId="1" xfId="0" applyNumberFormat="1" applyFont="1" applyFill="1" applyBorder="1"/>
    <xf numFmtId="1" fontId="8" fillId="6" borderId="1" xfId="0" applyNumberFormat="1" applyFont="1" applyFill="1" applyBorder="1"/>
    <xf numFmtId="164" fontId="8" fillId="6" borderId="1" xfId="0" applyNumberFormat="1" applyFont="1" applyFill="1" applyBorder="1"/>
    <xf numFmtId="165" fontId="16" fillId="2" borderId="1" xfId="0" applyNumberFormat="1" applyFont="1" applyFill="1" applyBorder="1"/>
    <xf numFmtId="166" fontId="16" fillId="2" borderId="1" xfId="0" applyNumberFormat="1" applyFont="1" applyFill="1" applyBorder="1"/>
    <xf numFmtId="164" fontId="17" fillId="4" borderId="1" xfId="0" applyNumberFormat="1" applyFont="1" applyFill="1" applyBorder="1"/>
    <xf numFmtId="164" fontId="17" fillId="5" borderId="1" xfId="0" applyNumberFormat="1" applyFont="1" applyFill="1" applyBorder="1"/>
    <xf numFmtId="0" fontId="20" fillId="4" borderId="1" xfId="0" applyFont="1" applyFill="1" applyBorder="1"/>
    <xf numFmtId="0" fontId="19" fillId="6" borderId="1" xfId="0" applyFont="1" applyFill="1" applyBorder="1"/>
    <xf numFmtId="0" fontId="22" fillId="0" borderId="0" xfId="0" applyFont="1"/>
    <xf numFmtId="0" fontId="15" fillId="0" borderId="1" xfId="0" applyFont="1" applyBorder="1"/>
    <xf numFmtId="164" fontId="16" fillId="2" borderId="1" xfId="0" applyNumberFormat="1" applyFont="1" applyFill="1" applyBorder="1"/>
    <xf numFmtId="0" fontId="23" fillId="0" borderId="1" xfId="0" applyFont="1" applyBorder="1"/>
    <xf numFmtId="0" fontId="24" fillId="7" borderId="1" xfId="0" applyFont="1" applyFill="1" applyBorder="1"/>
    <xf numFmtId="164" fontId="25" fillId="7" borderId="1" xfId="0" applyNumberFormat="1" applyFont="1" applyFill="1" applyBorder="1"/>
    <xf numFmtId="0" fontId="23" fillId="0" borderId="0" xfId="0" applyFont="1"/>
    <xf numFmtId="0" fontId="2" fillId="0" borderId="0" xfId="0" applyFont="1" applyAlignment="1">
      <alignment wrapText="1"/>
    </xf>
    <xf numFmtId="0" fontId="4" fillId="0" borderId="1" xfId="0" applyFont="1" applyBorder="1"/>
    <xf numFmtId="3" fontId="11" fillId="2" borderId="1" xfId="0" applyNumberFormat="1" applyFont="1" applyFill="1" applyBorder="1"/>
    <xf numFmtId="2" fontId="11" fillId="2" borderId="1" xfId="0" applyNumberFormat="1" applyFont="1" applyFill="1" applyBorder="1"/>
    <xf numFmtId="164" fontId="11" fillId="2" borderId="1" xfId="0" applyNumberFormat="1" applyFont="1" applyFill="1" applyBorder="1"/>
    <xf numFmtId="166" fontId="11" fillId="2" borderId="1" xfId="0" applyNumberFormat="1" applyFont="1" applyFill="1" applyBorder="1"/>
    <xf numFmtId="3" fontId="21" fillId="0" borderId="1" xfId="0" applyNumberFormat="1" applyFont="1" applyBorder="1"/>
    <xf numFmtId="164" fontId="21" fillId="0" borderId="1" xfId="0" applyNumberFormat="1" applyFont="1" applyBorder="1"/>
    <xf numFmtId="0" fontId="8" fillId="7" borderId="1" xfId="0" applyFont="1" applyFill="1" applyBorder="1"/>
    <xf numFmtId="2" fontId="8" fillId="7" borderId="1" xfId="0" applyNumberFormat="1" applyFont="1" applyFill="1" applyBorder="1"/>
    <xf numFmtId="167" fontId="11" fillId="2" borderId="1" xfId="0" applyNumberFormat="1" applyFont="1" applyFill="1" applyBorder="1"/>
    <xf numFmtId="0" fontId="26" fillId="4" borderId="1" xfId="0" applyFont="1" applyFill="1" applyBorder="1" applyAlignment="1">
      <alignment vertical="center" wrapText="1"/>
    </xf>
    <xf numFmtId="165" fontId="11" fillId="4" borderId="1" xfId="0" applyNumberFormat="1" applyFont="1" applyFill="1" applyBorder="1"/>
    <xf numFmtId="165" fontId="26" fillId="4" borderId="1" xfId="0" applyNumberFormat="1" applyFont="1" applyFill="1" applyBorder="1"/>
    <xf numFmtId="0" fontId="26" fillId="5" borderId="1" xfId="0" applyFont="1" applyFill="1" applyBorder="1" applyAlignment="1">
      <alignment vertical="center" wrapText="1"/>
    </xf>
    <xf numFmtId="165" fontId="26" fillId="5" borderId="1" xfId="0" applyNumberFormat="1" applyFont="1" applyFill="1" applyBorder="1"/>
    <xf numFmtId="0" fontId="27" fillId="3" borderId="1" xfId="0" applyFont="1" applyFill="1" applyBorder="1" applyAlignment="1">
      <alignment horizontal="center" vertical="center" wrapText="1"/>
    </xf>
    <xf numFmtId="0" fontId="28" fillId="4" borderId="1" xfId="0" applyFont="1" applyFill="1" applyBorder="1"/>
    <xf numFmtId="0" fontId="28" fillId="4" borderId="1" xfId="0" applyFont="1" applyFill="1" applyBorder="1" applyAlignment="1">
      <alignment vertical="center" wrapText="1"/>
    </xf>
    <xf numFmtId="0" fontId="28" fillId="4" borderId="1" xfId="0" applyFont="1" applyFill="1" applyBorder="1" applyAlignment="1">
      <alignment horizontal="center"/>
    </xf>
    <xf numFmtId="165" fontId="29" fillId="4" borderId="1" xfId="0" applyNumberFormat="1" applyFont="1" applyFill="1" applyBorder="1"/>
    <xf numFmtId="166" fontId="30" fillId="2" borderId="1" xfId="0" applyNumberFormat="1" applyFont="1" applyFill="1" applyBorder="1"/>
    <xf numFmtId="165" fontId="31" fillId="4" borderId="1" xfId="0" applyNumberFormat="1" applyFont="1" applyFill="1" applyBorder="1"/>
    <xf numFmtId="164" fontId="29" fillId="4" borderId="1" xfId="0" applyNumberFormat="1" applyFont="1" applyFill="1" applyBorder="1"/>
    <xf numFmtId="164" fontId="32" fillId="4" borderId="1" xfId="0" applyNumberFormat="1" applyFont="1" applyFill="1" applyBorder="1"/>
    <xf numFmtId="0" fontId="28" fillId="5" borderId="1" xfId="0" applyFont="1" applyFill="1" applyBorder="1"/>
    <xf numFmtId="0" fontId="28" fillId="5" borderId="1" xfId="0" applyFont="1" applyFill="1" applyBorder="1" applyAlignment="1">
      <alignment vertical="center" wrapText="1"/>
    </xf>
    <xf numFmtId="0" fontId="28" fillId="5" borderId="1" xfId="0" applyFont="1" applyFill="1" applyBorder="1" applyAlignment="1">
      <alignment horizontal="center"/>
    </xf>
    <xf numFmtId="165" fontId="29" fillId="5" borderId="1" xfId="0" applyNumberFormat="1" applyFont="1" applyFill="1" applyBorder="1"/>
    <xf numFmtId="165" fontId="31" fillId="5" borderId="1" xfId="0" applyNumberFormat="1" applyFont="1" applyFill="1" applyBorder="1"/>
    <xf numFmtId="164" fontId="29" fillId="5" borderId="1" xfId="0" applyNumberFormat="1" applyFont="1" applyFill="1" applyBorder="1"/>
    <xf numFmtId="164" fontId="32" fillId="5" borderId="1" xfId="0" applyNumberFormat="1" applyFont="1" applyFill="1" applyBorder="1"/>
    <xf numFmtId="0" fontId="19" fillId="0" borderId="1" xfId="0" applyFont="1" applyBorder="1"/>
    <xf numFmtId="164" fontId="18" fillId="0" borderId="1" xfId="0" applyNumberFormat="1" applyFont="1" applyBorder="1"/>
    <xf numFmtId="166" fontId="18" fillId="0" borderId="1" xfId="0" applyNumberFormat="1" applyFont="1" applyBorder="1"/>
    <xf numFmtId="0" fontId="15" fillId="6" borderId="1" xfId="0" applyFont="1" applyFill="1" applyBorder="1"/>
    <xf numFmtId="164" fontId="8" fillId="7" borderId="1" xfId="0" applyNumberFormat="1" applyFont="1" applyFill="1" applyBorder="1"/>
    <xf numFmtId="166" fontId="26" fillId="0" borderId="0" xfId="0" applyNumberFormat="1" applyFont="1"/>
    <xf numFmtId="0" fontId="4" fillId="0" borderId="1" xfId="0" applyFont="1" applyBorder="1" applyAlignment="1">
      <alignment horizontal="left" vertical="center"/>
    </xf>
    <xf numFmtId="164" fontId="26" fillId="0" borderId="1" xfId="0" applyNumberFormat="1" applyFont="1" applyBorder="1" applyAlignment="1">
      <alignment horizontal="center" vertical="center"/>
    </xf>
    <xf numFmtId="164" fontId="21" fillId="0" borderId="1" xfId="0" applyNumberFormat="1" applyFont="1" applyBorder="1" applyAlignment="1">
      <alignment horizontal="center" vertical="center"/>
    </xf>
    <xf numFmtId="164" fontId="20" fillId="0" borderId="1" xfId="0" applyNumberFormat="1" applyFont="1" applyBorder="1" applyAlignment="1">
      <alignment horizontal="center" vertical="center"/>
    </xf>
    <xf numFmtId="165" fontId="26" fillId="0" borderId="1" xfId="0" applyNumberFormat="1" applyFont="1" applyBorder="1" applyAlignment="1">
      <alignment horizontal="center" vertical="center"/>
    </xf>
    <xf numFmtId="165" fontId="21" fillId="0" borderId="1" xfId="0" applyNumberFormat="1" applyFont="1" applyBorder="1" applyAlignment="1">
      <alignment horizontal="center" vertical="center"/>
    </xf>
    <xf numFmtId="164" fontId="17" fillId="0" borderId="1" xfId="0" applyNumberFormat="1" applyFont="1" applyBorder="1"/>
    <xf numFmtId="0" fontId="33" fillId="0" borderId="1" xfId="0" applyFont="1" applyBorder="1"/>
    <xf numFmtId="0" fontId="34" fillId="0" borderId="1" xfId="0" applyFont="1" applyBorder="1"/>
    <xf numFmtId="0" fontId="19" fillId="7" borderId="1" xfId="0" applyFont="1" applyFill="1" applyBorder="1"/>
    <xf numFmtId="2" fontId="17" fillId="7" borderId="1" xfId="0" applyNumberFormat="1" applyFont="1" applyFill="1" applyBorder="1"/>
    <xf numFmtId="2" fontId="19" fillId="7" borderId="1" xfId="0" applyNumberFormat="1" applyFont="1" applyFill="1" applyBorder="1"/>
    <xf numFmtId="0" fontId="34" fillId="7" borderId="1" xfId="0" applyFont="1" applyFill="1" applyBorder="1"/>
    <xf numFmtId="0" fontId="35" fillId="0" borderId="0" xfId="0" applyFont="1"/>
    <xf numFmtId="0" fontId="37" fillId="3" borderId="1" xfId="0" applyFont="1" applyFill="1" applyBorder="1" applyAlignment="1">
      <alignment horizontal="center" vertical="center" wrapText="1"/>
    </xf>
    <xf numFmtId="0" fontId="38" fillId="4" borderId="1" xfId="0" applyFont="1" applyFill="1" applyBorder="1" applyAlignment="1">
      <alignment horizontal="center" vertical="center" wrapText="1"/>
    </xf>
    <xf numFmtId="0" fontId="38" fillId="4" borderId="1" xfId="0" applyFont="1" applyFill="1" applyBorder="1" applyAlignment="1">
      <alignment horizontal="left" vertical="center" wrapText="1"/>
    </xf>
    <xf numFmtId="0" fontId="38" fillId="5" borderId="1" xfId="0" applyFont="1" applyFill="1" applyBorder="1" applyAlignment="1">
      <alignment horizontal="center" vertical="center" wrapText="1"/>
    </xf>
    <xf numFmtId="0" fontId="38" fillId="5" borderId="1" xfId="0" applyFont="1" applyFill="1" applyBorder="1" applyAlignment="1">
      <alignment horizontal="left" vertical="center" wrapText="1"/>
    </xf>
    <xf numFmtId="0" fontId="39" fillId="0" borderId="0" xfId="0" applyFont="1"/>
    <xf numFmtId="0" fontId="40" fillId="0" borderId="0" xfId="0" applyFont="1"/>
    <xf numFmtId="166" fontId="41" fillId="8" borderId="0" xfId="0" applyNumberFormat="1" applyFont="1" applyFill="1"/>
    <xf numFmtId="0" fontId="42" fillId="0" borderId="0" xfId="0" applyFont="1"/>
    <xf numFmtId="0" fontId="43" fillId="9" borderId="2" xfId="0" applyFont="1" applyFill="1" applyBorder="1" applyAlignment="1">
      <alignment horizontal="center" vertical="center" wrapText="1"/>
    </xf>
    <xf numFmtId="3" fontId="44" fillId="10" borderId="2" xfId="0" applyNumberFormat="1" applyFont="1" applyFill="1" applyBorder="1" applyAlignment="1">
      <alignment horizontal="center" vertical="center" wrapText="1"/>
    </xf>
    <xf numFmtId="3" fontId="44" fillId="11" borderId="2" xfId="0" applyNumberFormat="1" applyFont="1" applyFill="1" applyBorder="1" applyAlignment="1">
      <alignment horizontal="center" vertical="center" wrapText="1"/>
    </xf>
    <xf numFmtId="0" fontId="0" fillId="12" borderId="2" xfId="0" applyFill="1" applyBorder="1"/>
    <xf numFmtId="0" fontId="45" fillId="12" borderId="2" xfId="0" applyFont="1" applyFill="1" applyBorder="1"/>
    <xf numFmtId="3" fontId="46" fillId="12" borderId="2" xfId="0" applyNumberFormat="1" applyFont="1" applyFill="1" applyBorder="1" applyAlignment="1">
      <alignment horizontal="center" vertical="center" wrapText="1"/>
    </xf>
    <xf numFmtId="0" fontId="36" fillId="0" borderId="0" xfId="0" applyFont="1" applyAlignment="1">
      <alignment wrapText="1"/>
    </xf>
    <xf numFmtId="0" fontId="0" fillId="0" borderId="0" xfId="0"/>
    <xf numFmtId="0" fontId="23"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4F4"/>
      <rgbColor rgb="FFD9E8FF"/>
      <rgbColor rgb="FF660066"/>
      <rgbColor rgb="FFFF8080"/>
      <rgbColor rgb="FF0F62FE"/>
      <rgbColor rgb="FFCCCCFF"/>
      <rgbColor rgb="FF000080"/>
      <rgbColor rgb="FFFF00FF"/>
      <rgbColor rgb="FFFFFF00"/>
      <rgbColor rgb="FF00FFFF"/>
      <rgbColor rgb="FF800080"/>
      <rgbColor rgb="FF800000"/>
      <rgbColor rgb="FF008080"/>
      <rgbColor rgb="FF0000FF"/>
      <rgbColor rgb="FF00CCFF"/>
      <rgbColor rgb="FFEDF5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3D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62FE"/>
  </sheetPr>
  <dimension ref="A1:A26"/>
  <sheetViews>
    <sheetView showGridLines="0" zoomScaleNormal="100" workbookViewId="0"/>
  </sheetViews>
  <sheetFormatPr baseColWidth="10" defaultColWidth="8.6640625" defaultRowHeight="15" x14ac:dyDescent="0.2"/>
  <cols>
    <col min="1" max="1" width="108" customWidth="1"/>
  </cols>
  <sheetData>
    <row r="1" spans="1:1" ht="18.75" customHeight="1" x14ac:dyDescent="0.2">
      <c r="A1" s="1" t="s">
        <v>102</v>
      </c>
    </row>
    <row r="2" spans="1:1" x14ac:dyDescent="0.2">
      <c r="A2" s="2" t="s">
        <v>103</v>
      </c>
    </row>
    <row r="4" spans="1:1" ht="15.75" customHeight="1" x14ac:dyDescent="0.2">
      <c r="A4" s="3" t="s">
        <v>104</v>
      </c>
    </row>
    <row r="5" spans="1:1" x14ac:dyDescent="0.2">
      <c r="A5" s="4" t="s">
        <v>105</v>
      </c>
    </row>
    <row r="6" spans="1:1" x14ac:dyDescent="0.2">
      <c r="A6" s="4" t="s">
        <v>106</v>
      </c>
    </row>
    <row r="7" spans="1:1" x14ac:dyDescent="0.2">
      <c r="A7" s="4" t="s">
        <v>107</v>
      </c>
    </row>
    <row r="8" spans="1:1" x14ac:dyDescent="0.2">
      <c r="A8" s="4" t="s">
        <v>108</v>
      </c>
    </row>
    <row r="9" spans="1:1" x14ac:dyDescent="0.2">
      <c r="A9" s="4" t="s">
        <v>109</v>
      </c>
    </row>
    <row r="11" spans="1:1" ht="15.75" customHeight="1" x14ac:dyDescent="0.2">
      <c r="A11" s="3" t="s">
        <v>110</v>
      </c>
    </row>
    <row r="12" spans="1:1" x14ac:dyDescent="0.2">
      <c r="A12" s="4" t="s">
        <v>111</v>
      </c>
    </row>
    <row r="13" spans="1:1" x14ac:dyDescent="0.2">
      <c r="A13" s="4" t="s">
        <v>112</v>
      </c>
    </row>
    <row r="14" spans="1:1" x14ac:dyDescent="0.2">
      <c r="A14" s="4" t="s">
        <v>113</v>
      </c>
    </row>
    <row r="15" spans="1:1" x14ac:dyDescent="0.2">
      <c r="A15" s="4" t="s">
        <v>114</v>
      </c>
    </row>
    <row r="16" spans="1:1" x14ac:dyDescent="0.2">
      <c r="A16" s="4" t="s">
        <v>115</v>
      </c>
    </row>
    <row r="17" spans="1:1" x14ac:dyDescent="0.2">
      <c r="A17" s="4" t="s">
        <v>116</v>
      </c>
    </row>
    <row r="18" spans="1:1" x14ac:dyDescent="0.2">
      <c r="A18" s="4" t="s">
        <v>117</v>
      </c>
    </row>
    <row r="20" spans="1:1" ht="15.75" customHeight="1" x14ac:dyDescent="0.2">
      <c r="A20" s="3" t="s">
        <v>118</v>
      </c>
    </row>
    <row r="21" spans="1:1" x14ac:dyDescent="0.2">
      <c r="A21" s="5" t="s">
        <v>119</v>
      </c>
    </row>
    <row r="22" spans="1:1" x14ac:dyDescent="0.2">
      <c r="A22" s="6" t="s">
        <v>120</v>
      </c>
    </row>
    <row r="23" spans="1:1" x14ac:dyDescent="0.2">
      <c r="A23" s="7" t="s">
        <v>121</v>
      </c>
    </row>
    <row r="24" spans="1:1" x14ac:dyDescent="0.2">
      <c r="A24" s="8" t="s">
        <v>122</v>
      </c>
    </row>
    <row r="26" spans="1:1" ht="30" customHeight="1" x14ac:dyDescent="0.2">
      <c r="A26" s="9" t="s">
        <v>123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F62FE"/>
  </sheetPr>
  <dimension ref="A1:D14"/>
  <sheetViews>
    <sheetView showGridLines="0" zoomScaleNormal="100" workbookViewId="0"/>
  </sheetViews>
  <sheetFormatPr baseColWidth="10" defaultColWidth="8.6640625" defaultRowHeight="15" x14ac:dyDescent="0.2"/>
  <cols>
    <col min="1" max="1" width="34" customWidth="1"/>
    <col min="2" max="3" width="16" customWidth="1"/>
    <col min="4" max="4" width="52" customWidth="1"/>
  </cols>
  <sheetData>
    <row r="1" spans="1:4" ht="18.75" customHeight="1" x14ac:dyDescent="0.2">
      <c r="A1" s="1" t="s">
        <v>124</v>
      </c>
    </row>
    <row r="2" spans="1:4" x14ac:dyDescent="0.2">
      <c r="A2" s="2" t="s">
        <v>125</v>
      </c>
    </row>
    <row r="4" spans="1:4" ht="27.75" customHeight="1" x14ac:dyDescent="0.2">
      <c r="A4" s="10" t="s">
        <v>126</v>
      </c>
      <c r="B4" s="10" t="s">
        <v>127</v>
      </c>
      <c r="C4" s="10" t="s">
        <v>128</v>
      </c>
      <c r="D4" s="10" t="s">
        <v>129</v>
      </c>
    </row>
    <row r="5" spans="1:4" x14ac:dyDescent="0.2">
      <c r="A5" s="11" t="s">
        <v>130</v>
      </c>
      <c r="B5" s="12">
        <v>220</v>
      </c>
      <c r="C5" s="12">
        <v>70</v>
      </c>
      <c r="D5" s="13" t="s">
        <v>131</v>
      </c>
    </row>
    <row r="6" spans="1:4" ht="27.75" customHeight="1" x14ac:dyDescent="0.2">
      <c r="A6" s="11" t="s">
        <v>132</v>
      </c>
      <c r="B6" s="12">
        <v>245</v>
      </c>
      <c r="C6" s="12">
        <v>85</v>
      </c>
      <c r="D6" s="13" t="s">
        <v>133</v>
      </c>
    </row>
    <row r="7" spans="1:4" x14ac:dyDescent="0.2">
      <c r="A7" s="11" t="s">
        <v>134</v>
      </c>
      <c r="B7" s="12">
        <v>210</v>
      </c>
      <c r="C7" s="12">
        <v>75</v>
      </c>
      <c r="D7" s="13" t="s">
        <v>135</v>
      </c>
    </row>
    <row r="8" spans="1:4" x14ac:dyDescent="0.2">
      <c r="A8" s="11" t="s">
        <v>136</v>
      </c>
      <c r="B8" s="12">
        <v>185</v>
      </c>
      <c r="C8" s="12">
        <v>60</v>
      </c>
      <c r="D8" s="13" t="s">
        <v>137</v>
      </c>
    </row>
    <row r="9" spans="1:4" x14ac:dyDescent="0.2">
      <c r="A9" s="11" t="s">
        <v>138</v>
      </c>
      <c r="B9" s="12">
        <v>190</v>
      </c>
      <c r="C9" s="12">
        <v>65</v>
      </c>
      <c r="D9" s="13" t="s">
        <v>139</v>
      </c>
    </row>
    <row r="10" spans="1:4" x14ac:dyDescent="0.2">
      <c r="A10" s="11" t="s">
        <v>140</v>
      </c>
      <c r="B10" s="12">
        <v>165</v>
      </c>
      <c r="C10" s="12">
        <v>55</v>
      </c>
      <c r="D10" s="13" t="s">
        <v>141</v>
      </c>
    </row>
    <row r="11" spans="1:4" x14ac:dyDescent="0.2">
      <c r="A11" s="11" t="s">
        <v>142</v>
      </c>
      <c r="B11" s="12">
        <v>150</v>
      </c>
      <c r="C11" s="12">
        <v>45</v>
      </c>
      <c r="D11" s="13" t="s">
        <v>143</v>
      </c>
    </row>
    <row r="12" spans="1:4" ht="27.75" customHeight="1" x14ac:dyDescent="0.2">
      <c r="A12" s="11" t="s">
        <v>144</v>
      </c>
      <c r="B12" s="12">
        <v>200</v>
      </c>
      <c r="C12" s="14" t="s">
        <v>145</v>
      </c>
      <c r="D12" s="13" t="s">
        <v>146</v>
      </c>
    </row>
    <row r="13" spans="1:4" x14ac:dyDescent="0.2">
      <c r="A13" s="11" t="s">
        <v>147</v>
      </c>
      <c r="B13" s="12">
        <v>160</v>
      </c>
      <c r="C13" s="12">
        <v>50</v>
      </c>
      <c r="D13" s="13" t="s">
        <v>148</v>
      </c>
    </row>
    <row r="14" spans="1:4" x14ac:dyDescent="0.2">
      <c r="A14" s="11" t="s">
        <v>149</v>
      </c>
      <c r="B14" s="12">
        <v>130</v>
      </c>
      <c r="C14" s="12">
        <v>40</v>
      </c>
      <c r="D14" s="13" t="s">
        <v>150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62FE"/>
  </sheetPr>
  <dimension ref="A1:C20"/>
  <sheetViews>
    <sheetView showGridLines="0" zoomScaleNormal="100" workbookViewId="0"/>
  </sheetViews>
  <sheetFormatPr baseColWidth="10" defaultColWidth="8.6640625" defaultRowHeight="15" x14ac:dyDescent="0.2"/>
  <cols>
    <col min="1" max="1" width="46" customWidth="1"/>
    <col min="2" max="2" width="16" customWidth="1"/>
    <col min="3" max="3" width="54" customWidth="1"/>
  </cols>
  <sheetData>
    <row r="1" spans="1:3" ht="18.75" customHeight="1" x14ac:dyDescent="0.2">
      <c r="A1" s="1" t="s">
        <v>151</v>
      </c>
    </row>
    <row r="2" spans="1:3" x14ac:dyDescent="0.2">
      <c r="A2" s="2" t="s">
        <v>152</v>
      </c>
    </row>
    <row r="4" spans="1:3" x14ac:dyDescent="0.2">
      <c r="A4" s="10" t="s">
        <v>153</v>
      </c>
      <c r="B4" s="10" t="s">
        <v>154</v>
      </c>
      <c r="C4" s="10" t="s">
        <v>155</v>
      </c>
    </row>
    <row r="5" spans="1:3" x14ac:dyDescent="0.2">
      <c r="A5" t="s">
        <v>156</v>
      </c>
      <c r="B5" s="15">
        <v>160</v>
      </c>
      <c r="C5" s="16" t="s">
        <v>157</v>
      </c>
    </row>
    <row r="6" spans="1:3" x14ac:dyDescent="0.2">
      <c r="A6" t="s">
        <v>158</v>
      </c>
      <c r="B6" s="17">
        <v>12</v>
      </c>
    </row>
    <row r="8" spans="1:3" x14ac:dyDescent="0.2">
      <c r="A8" s="18" t="s">
        <v>159</v>
      </c>
    </row>
    <row r="9" spans="1:3" x14ac:dyDescent="0.2">
      <c r="A9" t="s">
        <v>160</v>
      </c>
      <c r="B9" s="19">
        <v>195</v>
      </c>
      <c r="C9" s="16" t="s">
        <v>161</v>
      </c>
    </row>
    <row r="10" spans="1:3" x14ac:dyDescent="0.2">
      <c r="A10" t="s">
        <v>162</v>
      </c>
      <c r="B10" s="19">
        <v>65</v>
      </c>
    </row>
    <row r="12" spans="1:3" x14ac:dyDescent="0.2">
      <c r="A12" s="18" t="s">
        <v>163</v>
      </c>
    </row>
    <row r="13" spans="1:3" x14ac:dyDescent="0.2">
      <c r="A13" t="s">
        <v>164</v>
      </c>
      <c r="B13" s="20">
        <v>0.65</v>
      </c>
      <c r="C13" s="16" t="s">
        <v>165</v>
      </c>
    </row>
    <row r="14" spans="1:3" x14ac:dyDescent="0.2">
      <c r="A14" t="s">
        <v>166</v>
      </c>
      <c r="B14" s="20">
        <v>0.45</v>
      </c>
    </row>
    <row r="15" spans="1:3" x14ac:dyDescent="0.2">
      <c r="A15" t="s">
        <v>167</v>
      </c>
      <c r="B15" s="20">
        <v>0.35</v>
      </c>
      <c r="C15" s="16" t="s">
        <v>168</v>
      </c>
    </row>
    <row r="17" spans="1:3" x14ac:dyDescent="0.2">
      <c r="A17" s="129" t="s">
        <v>169</v>
      </c>
    </row>
    <row r="18" spans="1:3" x14ac:dyDescent="0.2">
      <c r="A18" s="130" t="s">
        <v>170</v>
      </c>
      <c r="B18" s="131">
        <v>0.5</v>
      </c>
      <c r="C18" s="132" t="s">
        <v>171</v>
      </c>
    </row>
    <row r="19" spans="1:3" x14ac:dyDescent="0.2">
      <c r="A19" s="130" t="s">
        <v>172</v>
      </c>
      <c r="B19" s="131">
        <v>0.3</v>
      </c>
      <c r="C19" s="132" t="s">
        <v>173</v>
      </c>
    </row>
    <row r="20" spans="1:3" x14ac:dyDescent="0.2">
      <c r="A20" s="130" t="s">
        <v>174</v>
      </c>
      <c r="B20" s="131">
        <v>0.35</v>
      </c>
      <c r="C20" s="132" t="s">
        <v>175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62FE"/>
  </sheetPr>
  <dimension ref="A1:L29"/>
  <sheetViews>
    <sheetView showGridLines="0" zoomScaleNormal="100" workbookViewId="0">
      <pane ySplit="5" topLeftCell="A6" activePane="bottomLeft" state="frozen"/>
      <selection pane="bottomLeft"/>
    </sheetView>
  </sheetViews>
  <sheetFormatPr baseColWidth="10" defaultColWidth="8.6640625" defaultRowHeight="15" x14ac:dyDescent="0.2"/>
  <cols>
    <col min="1" max="1" width="4" customWidth="1"/>
    <col min="2" max="2" width="46" customWidth="1"/>
    <col min="3" max="3" width="16" customWidth="1"/>
    <col min="4" max="4" width="10" customWidth="1"/>
    <col min="5" max="5" width="13" customWidth="1"/>
    <col min="6" max="7" width="11" customWidth="1"/>
    <col min="8" max="9" width="13" customWidth="1"/>
    <col min="10" max="12" width="15" customWidth="1"/>
  </cols>
  <sheetData>
    <row r="1" spans="1:12" ht="18.75" customHeight="1" x14ac:dyDescent="0.2">
      <c r="A1" s="1" t="s">
        <v>176</v>
      </c>
    </row>
    <row r="2" spans="1:12" x14ac:dyDescent="0.2">
      <c r="A2" s="2" t="s">
        <v>177</v>
      </c>
    </row>
    <row r="5" spans="1:12" x14ac:dyDescent="0.2">
      <c r="A5" s="21" t="s">
        <v>2</v>
      </c>
      <c r="B5" s="21" t="s">
        <v>3</v>
      </c>
      <c r="C5" s="21" t="s">
        <v>4</v>
      </c>
      <c r="D5" s="21" t="s">
        <v>5</v>
      </c>
      <c r="E5" s="21" t="s">
        <v>178</v>
      </c>
      <c r="F5" s="21" t="s">
        <v>179</v>
      </c>
      <c r="G5" s="21" t="s">
        <v>180</v>
      </c>
      <c r="H5" s="21" t="s">
        <v>181</v>
      </c>
      <c r="I5" s="21" t="s">
        <v>182</v>
      </c>
      <c r="J5" s="21" t="s">
        <v>183</v>
      </c>
      <c r="K5" s="21" t="s">
        <v>184</v>
      </c>
      <c r="L5" s="21" t="s">
        <v>185</v>
      </c>
    </row>
    <row r="6" spans="1:12" ht="27.75" customHeight="1" x14ac:dyDescent="0.2">
      <c r="A6" s="22">
        <v>1</v>
      </c>
      <c r="B6" s="23" t="s">
        <v>186</v>
      </c>
      <c r="C6" s="22" t="s">
        <v>12</v>
      </c>
      <c r="D6" s="24">
        <v>1</v>
      </c>
      <c r="E6" s="25">
        <v>8</v>
      </c>
      <c r="F6" s="26">
        <f>Assumptions!$B$13</f>
        <v>0.65</v>
      </c>
      <c r="G6" s="27">
        <f t="shared" ref="G6:G28" si="0">1-F6</f>
        <v>0.35</v>
      </c>
      <c r="H6" s="28">
        <f>$E6*Assumptions!$B$5*F6</f>
        <v>832</v>
      </c>
      <c r="I6" s="28">
        <f>$E6*Assumptions!$B$5*G6</f>
        <v>448</v>
      </c>
      <c r="J6" s="29">
        <f>H6*Assumptions!$B$9</f>
        <v>162240</v>
      </c>
      <c r="K6" s="29">
        <f>I6*Assumptions!$B$10</f>
        <v>29120</v>
      </c>
      <c r="L6" s="30">
        <f t="shared" ref="L6:L28" si="1">J6+K6</f>
        <v>191360</v>
      </c>
    </row>
    <row r="7" spans="1:12" x14ac:dyDescent="0.2">
      <c r="A7" s="31">
        <v>2</v>
      </c>
      <c r="B7" s="32" t="s">
        <v>16</v>
      </c>
      <c r="C7" s="31" t="s">
        <v>12</v>
      </c>
      <c r="D7" s="33">
        <v>1</v>
      </c>
      <c r="E7" s="34">
        <v>6</v>
      </c>
      <c r="F7" s="35">
        <f>Assumptions!$B$13</f>
        <v>0.65</v>
      </c>
      <c r="G7" s="36">
        <f t="shared" si="0"/>
        <v>0.35</v>
      </c>
      <c r="H7" s="37">
        <f>$E7*Assumptions!$B$5*F7</f>
        <v>624</v>
      </c>
      <c r="I7" s="37">
        <f>$E7*Assumptions!$B$5*G7</f>
        <v>336</v>
      </c>
      <c r="J7" s="38">
        <f>H7*Assumptions!$B$9</f>
        <v>121680</v>
      </c>
      <c r="K7" s="38">
        <f>I7*Assumptions!$B$10</f>
        <v>21840</v>
      </c>
      <c r="L7" s="39">
        <f t="shared" si="1"/>
        <v>143520</v>
      </c>
    </row>
    <row r="8" spans="1:12" ht="27.75" customHeight="1" x14ac:dyDescent="0.2">
      <c r="A8" s="22">
        <v>3</v>
      </c>
      <c r="B8" s="23" t="s">
        <v>187</v>
      </c>
      <c r="C8" s="22" t="s">
        <v>12</v>
      </c>
      <c r="D8" s="24">
        <v>1</v>
      </c>
      <c r="E8" s="25">
        <v>4</v>
      </c>
      <c r="F8" s="26">
        <f>Assumptions!$B$13</f>
        <v>0.65</v>
      </c>
      <c r="G8" s="27">
        <f t="shared" si="0"/>
        <v>0.35</v>
      </c>
      <c r="H8" s="28">
        <f>$E8*Assumptions!$B$5*F8</f>
        <v>416</v>
      </c>
      <c r="I8" s="28">
        <f>$E8*Assumptions!$B$5*G8</f>
        <v>224</v>
      </c>
      <c r="J8" s="29">
        <f>H8*Assumptions!$B$9</f>
        <v>81120</v>
      </c>
      <c r="K8" s="29">
        <f>I8*Assumptions!$B$10</f>
        <v>14560</v>
      </c>
      <c r="L8" s="30">
        <f t="shared" si="1"/>
        <v>95680</v>
      </c>
    </row>
    <row r="9" spans="1:12" ht="27.75" customHeight="1" x14ac:dyDescent="0.2">
      <c r="A9" s="31">
        <v>4</v>
      </c>
      <c r="B9" s="32" t="s">
        <v>188</v>
      </c>
      <c r="C9" s="31" t="s">
        <v>12</v>
      </c>
      <c r="D9" s="33">
        <v>1</v>
      </c>
      <c r="E9" s="34">
        <v>10</v>
      </c>
      <c r="F9" s="35">
        <f>Assumptions!$B$13</f>
        <v>0.65</v>
      </c>
      <c r="G9" s="36">
        <f t="shared" si="0"/>
        <v>0.35</v>
      </c>
      <c r="H9" s="37">
        <f>$E9*Assumptions!$B$5*F9</f>
        <v>1040</v>
      </c>
      <c r="I9" s="37">
        <f>$E9*Assumptions!$B$5*G9</f>
        <v>560</v>
      </c>
      <c r="J9" s="38">
        <f>H9*Assumptions!$B$9</f>
        <v>202800</v>
      </c>
      <c r="K9" s="38">
        <f>I9*Assumptions!$B$10</f>
        <v>36400</v>
      </c>
      <c r="L9" s="39">
        <f t="shared" si="1"/>
        <v>239200</v>
      </c>
    </row>
    <row r="10" spans="1:12" ht="27.75" customHeight="1" x14ac:dyDescent="0.2">
      <c r="A10" s="22">
        <v>5</v>
      </c>
      <c r="B10" s="23" t="s">
        <v>189</v>
      </c>
      <c r="C10" s="22" t="s">
        <v>12</v>
      </c>
      <c r="D10" s="24">
        <v>1</v>
      </c>
      <c r="E10" s="25">
        <v>5</v>
      </c>
      <c r="F10" s="26">
        <f>Assumptions!$B$13</f>
        <v>0.65</v>
      </c>
      <c r="G10" s="27">
        <f t="shared" si="0"/>
        <v>0.35</v>
      </c>
      <c r="H10" s="28">
        <f>$E10*Assumptions!$B$5*F10</f>
        <v>520</v>
      </c>
      <c r="I10" s="28">
        <f>$E10*Assumptions!$B$5*G10</f>
        <v>280</v>
      </c>
      <c r="J10" s="29">
        <f>H10*Assumptions!$B$9</f>
        <v>101400</v>
      </c>
      <c r="K10" s="29">
        <f>I10*Assumptions!$B$10</f>
        <v>18200</v>
      </c>
      <c r="L10" s="30">
        <f t="shared" si="1"/>
        <v>119600</v>
      </c>
    </row>
    <row r="11" spans="1:12" ht="27.75" customHeight="1" x14ac:dyDescent="0.2">
      <c r="A11" s="31">
        <v>6</v>
      </c>
      <c r="B11" s="32" t="s">
        <v>190</v>
      </c>
      <c r="C11" s="31" t="s">
        <v>33</v>
      </c>
      <c r="D11" s="33">
        <v>1</v>
      </c>
      <c r="E11" s="34">
        <v>5</v>
      </c>
      <c r="F11" s="35">
        <f>Assumptions!$B$14</f>
        <v>0.45</v>
      </c>
      <c r="G11" s="36">
        <f t="shared" si="0"/>
        <v>0.55000000000000004</v>
      </c>
      <c r="H11" s="37">
        <f>$E11*Assumptions!$B$5*F11</f>
        <v>360</v>
      </c>
      <c r="I11" s="37">
        <f>$E11*Assumptions!$B$5*G11</f>
        <v>440.00000000000006</v>
      </c>
      <c r="J11" s="38">
        <f>H11*Assumptions!$B$9</f>
        <v>70200</v>
      </c>
      <c r="K11" s="38">
        <f>I11*Assumptions!$B$10</f>
        <v>28600.000000000004</v>
      </c>
      <c r="L11" s="39">
        <f t="shared" si="1"/>
        <v>98800</v>
      </c>
    </row>
    <row r="12" spans="1:12" ht="27.75" customHeight="1" x14ac:dyDescent="0.2">
      <c r="A12" s="22">
        <v>7</v>
      </c>
      <c r="B12" s="23" t="s">
        <v>191</v>
      </c>
      <c r="C12" s="22" t="s">
        <v>33</v>
      </c>
      <c r="D12" s="24">
        <v>1</v>
      </c>
      <c r="E12" s="25">
        <v>1.5</v>
      </c>
      <c r="F12" s="26">
        <f>Assumptions!$B$14</f>
        <v>0.45</v>
      </c>
      <c r="G12" s="27">
        <f t="shared" si="0"/>
        <v>0.55000000000000004</v>
      </c>
      <c r="H12" s="28">
        <f>$E12*Assumptions!$B$5*F12</f>
        <v>108</v>
      </c>
      <c r="I12" s="28">
        <f>$E12*Assumptions!$B$5*G12</f>
        <v>132</v>
      </c>
      <c r="J12" s="29">
        <f>H12*Assumptions!$B$9</f>
        <v>21060</v>
      </c>
      <c r="K12" s="29">
        <f>I12*Assumptions!$B$10</f>
        <v>8580</v>
      </c>
      <c r="L12" s="30">
        <f t="shared" si="1"/>
        <v>29640</v>
      </c>
    </row>
    <row r="13" spans="1:12" ht="27.75" customHeight="1" x14ac:dyDescent="0.2">
      <c r="A13" s="31">
        <v>8</v>
      </c>
      <c r="B13" s="32" t="s">
        <v>192</v>
      </c>
      <c r="C13" s="31" t="s">
        <v>33</v>
      </c>
      <c r="D13" s="33">
        <v>1</v>
      </c>
      <c r="E13" s="34">
        <v>3</v>
      </c>
      <c r="F13" s="35">
        <f>Assumptions!$B$14</f>
        <v>0.45</v>
      </c>
      <c r="G13" s="36">
        <f t="shared" si="0"/>
        <v>0.55000000000000004</v>
      </c>
      <c r="H13" s="37">
        <f>$E13*Assumptions!$B$5*F13</f>
        <v>216</v>
      </c>
      <c r="I13" s="37">
        <f>$E13*Assumptions!$B$5*G13</f>
        <v>264</v>
      </c>
      <c r="J13" s="38">
        <f>H13*Assumptions!$B$9</f>
        <v>42120</v>
      </c>
      <c r="K13" s="38">
        <f>I13*Assumptions!$B$10</f>
        <v>17160</v>
      </c>
      <c r="L13" s="39">
        <f t="shared" si="1"/>
        <v>59280</v>
      </c>
    </row>
    <row r="14" spans="1:12" x14ac:dyDescent="0.2">
      <c r="A14" s="22">
        <v>9</v>
      </c>
      <c r="B14" s="23" t="s">
        <v>45</v>
      </c>
      <c r="C14" s="22" t="s">
        <v>46</v>
      </c>
      <c r="D14" s="24">
        <v>1</v>
      </c>
      <c r="E14" s="25">
        <v>3</v>
      </c>
      <c r="F14" s="26">
        <f>Assumptions!$B$15</f>
        <v>0.35</v>
      </c>
      <c r="G14" s="27">
        <f t="shared" si="0"/>
        <v>0.65</v>
      </c>
      <c r="H14" s="28">
        <f>$E14*Assumptions!$B$5*F14</f>
        <v>168</v>
      </c>
      <c r="I14" s="28">
        <f>$E14*Assumptions!$B$5*G14</f>
        <v>312</v>
      </c>
      <c r="J14" s="29">
        <f>H14*Assumptions!$B$9</f>
        <v>32760</v>
      </c>
      <c r="K14" s="29">
        <f>I14*Assumptions!$B$10</f>
        <v>20280</v>
      </c>
      <c r="L14" s="30">
        <f t="shared" si="1"/>
        <v>53040</v>
      </c>
    </row>
    <row r="15" spans="1:12" x14ac:dyDescent="0.2">
      <c r="A15" s="31">
        <v>10</v>
      </c>
      <c r="B15" s="32" t="s">
        <v>50</v>
      </c>
      <c r="C15" s="31" t="s">
        <v>46</v>
      </c>
      <c r="D15" s="33">
        <v>1</v>
      </c>
      <c r="E15" s="34">
        <v>3</v>
      </c>
      <c r="F15" s="35">
        <f>Assumptions!$B$15</f>
        <v>0.35</v>
      </c>
      <c r="G15" s="36">
        <f t="shared" si="0"/>
        <v>0.65</v>
      </c>
      <c r="H15" s="37">
        <f>$E15*Assumptions!$B$5*F15</f>
        <v>168</v>
      </c>
      <c r="I15" s="37">
        <f>$E15*Assumptions!$B$5*G15</f>
        <v>312</v>
      </c>
      <c r="J15" s="38">
        <f>H15*Assumptions!$B$9</f>
        <v>32760</v>
      </c>
      <c r="K15" s="38">
        <f>I15*Assumptions!$B$10</f>
        <v>20280</v>
      </c>
      <c r="L15" s="39">
        <f t="shared" si="1"/>
        <v>53040</v>
      </c>
    </row>
    <row r="16" spans="1:12" ht="27.75" customHeight="1" x14ac:dyDescent="0.2">
      <c r="A16" s="22">
        <v>11</v>
      </c>
      <c r="B16" s="23" t="s">
        <v>193</v>
      </c>
      <c r="C16" s="22" t="s">
        <v>46</v>
      </c>
      <c r="D16" s="24">
        <v>1</v>
      </c>
      <c r="E16" s="25">
        <v>2</v>
      </c>
      <c r="F16" s="26">
        <f>Assumptions!$B$15</f>
        <v>0.35</v>
      </c>
      <c r="G16" s="27">
        <f t="shared" si="0"/>
        <v>0.65</v>
      </c>
      <c r="H16" s="28">
        <f>$E16*Assumptions!$B$5*F16</f>
        <v>112</v>
      </c>
      <c r="I16" s="28">
        <f>$E16*Assumptions!$B$5*G16</f>
        <v>208</v>
      </c>
      <c r="J16" s="29">
        <f>H16*Assumptions!$B$9</f>
        <v>21840</v>
      </c>
      <c r="K16" s="29">
        <f>I16*Assumptions!$B$10</f>
        <v>13520</v>
      </c>
      <c r="L16" s="30">
        <f t="shared" si="1"/>
        <v>35360</v>
      </c>
    </row>
    <row r="17" spans="1:12" x14ac:dyDescent="0.2">
      <c r="A17" s="31">
        <v>12</v>
      </c>
      <c r="B17" s="32" t="s">
        <v>57</v>
      </c>
      <c r="C17" s="31" t="s">
        <v>46</v>
      </c>
      <c r="D17" s="33">
        <v>1</v>
      </c>
      <c r="E17" s="34">
        <v>2</v>
      </c>
      <c r="F17" s="35">
        <f>Assumptions!$B$15</f>
        <v>0.35</v>
      </c>
      <c r="G17" s="36">
        <f t="shared" si="0"/>
        <v>0.65</v>
      </c>
      <c r="H17" s="37">
        <f>$E17*Assumptions!$B$5*F17</f>
        <v>112</v>
      </c>
      <c r="I17" s="37">
        <f>$E17*Assumptions!$B$5*G17</f>
        <v>208</v>
      </c>
      <c r="J17" s="38">
        <f>H17*Assumptions!$B$9</f>
        <v>21840</v>
      </c>
      <c r="K17" s="38">
        <f>I17*Assumptions!$B$10</f>
        <v>13520</v>
      </c>
      <c r="L17" s="39">
        <f t="shared" si="1"/>
        <v>35360</v>
      </c>
    </row>
    <row r="18" spans="1:12" ht="27.75" customHeight="1" x14ac:dyDescent="0.2">
      <c r="A18" s="22">
        <v>13</v>
      </c>
      <c r="B18" s="23" t="s">
        <v>194</v>
      </c>
      <c r="C18" s="22" t="s">
        <v>33</v>
      </c>
      <c r="D18" s="24">
        <v>2</v>
      </c>
      <c r="E18" s="25">
        <v>4</v>
      </c>
      <c r="F18" s="26">
        <f>Assumptions!$B$14</f>
        <v>0.45</v>
      </c>
      <c r="G18" s="27">
        <f t="shared" si="0"/>
        <v>0.55000000000000004</v>
      </c>
      <c r="H18" s="28">
        <f>$E18*Assumptions!$B$5*F18</f>
        <v>288</v>
      </c>
      <c r="I18" s="28">
        <f>$E18*Assumptions!$B$5*G18</f>
        <v>352</v>
      </c>
      <c r="J18" s="29">
        <f>H18*Assumptions!$B$9</f>
        <v>56160</v>
      </c>
      <c r="K18" s="29">
        <f>I18*Assumptions!$B$10</f>
        <v>22880</v>
      </c>
      <c r="L18" s="30">
        <f t="shared" si="1"/>
        <v>79040</v>
      </c>
    </row>
    <row r="19" spans="1:12" ht="27.75" customHeight="1" x14ac:dyDescent="0.2">
      <c r="A19" s="31">
        <v>14</v>
      </c>
      <c r="B19" s="32" t="s">
        <v>195</v>
      </c>
      <c r="C19" s="31" t="s">
        <v>33</v>
      </c>
      <c r="D19" s="33">
        <v>2</v>
      </c>
      <c r="E19" s="34">
        <v>4</v>
      </c>
      <c r="F19" s="35">
        <f>Assumptions!$B$14</f>
        <v>0.45</v>
      </c>
      <c r="G19" s="36">
        <f t="shared" si="0"/>
        <v>0.55000000000000004</v>
      </c>
      <c r="H19" s="37">
        <f>$E19*Assumptions!$B$5*F19</f>
        <v>288</v>
      </c>
      <c r="I19" s="37">
        <f>$E19*Assumptions!$B$5*G19</f>
        <v>352</v>
      </c>
      <c r="J19" s="38">
        <f>H19*Assumptions!$B$9</f>
        <v>56160</v>
      </c>
      <c r="K19" s="38">
        <f>I19*Assumptions!$B$10</f>
        <v>22880</v>
      </c>
      <c r="L19" s="39">
        <f t="shared" si="1"/>
        <v>79040</v>
      </c>
    </row>
    <row r="20" spans="1:12" ht="27.75" customHeight="1" x14ac:dyDescent="0.2">
      <c r="A20" s="22">
        <v>15</v>
      </c>
      <c r="B20" s="23" t="s">
        <v>69</v>
      </c>
      <c r="C20" s="22" t="s">
        <v>46</v>
      </c>
      <c r="D20" s="24">
        <v>2</v>
      </c>
      <c r="E20" s="25">
        <v>3</v>
      </c>
      <c r="F20" s="26">
        <f>Assumptions!$B$15</f>
        <v>0.35</v>
      </c>
      <c r="G20" s="27">
        <f t="shared" si="0"/>
        <v>0.65</v>
      </c>
      <c r="H20" s="28">
        <f>$E20*Assumptions!$B$5*F20</f>
        <v>168</v>
      </c>
      <c r="I20" s="28">
        <f>$E20*Assumptions!$B$5*G20</f>
        <v>312</v>
      </c>
      <c r="J20" s="29">
        <f>H20*Assumptions!$B$9</f>
        <v>32760</v>
      </c>
      <c r="K20" s="29">
        <f>I20*Assumptions!$B$10</f>
        <v>20280</v>
      </c>
      <c r="L20" s="30">
        <f t="shared" si="1"/>
        <v>53040</v>
      </c>
    </row>
    <row r="21" spans="1:12" ht="27.75" customHeight="1" x14ac:dyDescent="0.2">
      <c r="A21" s="31">
        <v>16</v>
      </c>
      <c r="B21" s="32" t="s">
        <v>196</v>
      </c>
      <c r="C21" s="31" t="s">
        <v>46</v>
      </c>
      <c r="D21" s="33">
        <v>2</v>
      </c>
      <c r="E21" s="34">
        <v>3</v>
      </c>
      <c r="F21" s="35">
        <f>Assumptions!$B$15</f>
        <v>0.35</v>
      </c>
      <c r="G21" s="36">
        <f t="shared" si="0"/>
        <v>0.65</v>
      </c>
      <c r="H21" s="37">
        <f>$E21*Assumptions!$B$5*F21</f>
        <v>168</v>
      </c>
      <c r="I21" s="37">
        <f>$E21*Assumptions!$B$5*G21</f>
        <v>312</v>
      </c>
      <c r="J21" s="38">
        <f>H21*Assumptions!$B$9</f>
        <v>32760</v>
      </c>
      <c r="K21" s="38">
        <f>I21*Assumptions!$B$10</f>
        <v>20280</v>
      </c>
      <c r="L21" s="39">
        <f t="shared" si="1"/>
        <v>53040</v>
      </c>
    </row>
    <row r="22" spans="1:12" x14ac:dyDescent="0.2">
      <c r="A22" s="22">
        <v>17</v>
      </c>
      <c r="B22" s="23" t="s">
        <v>197</v>
      </c>
      <c r="C22" s="22" t="s">
        <v>46</v>
      </c>
      <c r="D22" s="24">
        <v>2</v>
      </c>
      <c r="E22" s="25">
        <v>3</v>
      </c>
      <c r="F22" s="26">
        <f>Assumptions!$B$15</f>
        <v>0.35</v>
      </c>
      <c r="G22" s="27">
        <f t="shared" si="0"/>
        <v>0.65</v>
      </c>
      <c r="H22" s="28">
        <f>$E22*Assumptions!$B$5*F22</f>
        <v>168</v>
      </c>
      <c r="I22" s="28">
        <f>$E22*Assumptions!$B$5*G22</f>
        <v>312</v>
      </c>
      <c r="J22" s="29">
        <f>H22*Assumptions!$B$9</f>
        <v>32760</v>
      </c>
      <c r="K22" s="29">
        <f>I22*Assumptions!$B$10</f>
        <v>20280</v>
      </c>
      <c r="L22" s="30">
        <f t="shared" si="1"/>
        <v>53040</v>
      </c>
    </row>
    <row r="23" spans="1:12" x14ac:dyDescent="0.2">
      <c r="A23" s="31">
        <v>18</v>
      </c>
      <c r="B23" s="32" t="s">
        <v>79</v>
      </c>
      <c r="C23" s="31" t="s">
        <v>33</v>
      </c>
      <c r="D23" s="33">
        <v>3</v>
      </c>
      <c r="E23" s="34">
        <v>5</v>
      </c>
      <c r="F23" s="35">
        <f>Assumptions!$B$14</f>
        <v>0.45</v>
      </c>
      <c r="G23" s="36">
        <f t="shared" si="0"/>
        <v>0.55000000000000004</v>
      </c>
      <c r="H23" s="37">
        <f>$E23*Assumptions!$B$5*F23</f>
        <v>360</v>
      </c>
      <c r="I23" s="37">
        <f>$E23*Assumptions!$B$5*G23</f>
        <v>440.00000000000006</v>
      </c>
      <c r="J23" s="38">
        <f>H23*Assumptions!$B$9</f>
        <v>70200</v>
      </c>
      <c r="K23" s="38">
        <f>I23*Assumptions!$B$10</f>
        <v>28600.000000000004</v>
      </c>
      <c r="L23" s="39">
        <f t="shared" si="1"/>
        <v>98800</v>
      </c>
    </row>
    <row r="24" spans="1:12" ht="27.75" customHeight="1" x14ac:dyDescent="0.2">
      <c r="A24" s="22">
        <v>19</v>
      </c>
      <c r="B24" s="23" t="s">
        <v>198</v>
      </c>
      <c r="C24" s="22" t="s">
        <v>33</v>
      </c>
      <c r="D24" s="24">
        <v>3</v>
      </c>
      <c r="E24" s="25">
        <v>4</v>
      </c>
      <c r="F24" s="26">
        <f>Assumptions!$B$14</f>
        <v>0.45</v>
      </c>
      <c r="G24" s="27">
        <f t="shared" si="0"/>
        <v>0.55000000000000004</v>
      </c>
      <c r="H24" s="28">
        <f>$E24*Assumptions!$B$5*F24</f>
        <v>288</v>
      </c>
      <c r="I24" s="28">
        <f>$E24*Assumptions!$B$5*G24</f>
        <v>352</v>
      </c>
      <c r="J24" s="29">
        <f>H24*Assumptions!$B$9</f>
        <v>56160</v>
      </c>
      <c r="K24" s="29">
        <f>I24*Assumptions!$B$10</f>
        <v>22880</v>
      </c>
      <c r="L24" s="30">
        <f t="shared" si="1"/>
        <v>79040</v>
      </c>
    </row>
    <row r="25" spans="1:12" x14ac:dyDescent="0.2">
      <c r="A25" s="31">
        <v>20</v>
      </c>
      <c r="B25" s="32" t="s">
        <v>87</v>
      </c>
      <c r="C25" s="31" t="s">
        <v>33</v>
      </c>
      <c r="D25" s="33">
        <v>3</v>
      </c>
      <c r="E25" s="34">
        <v>6</v>
      </c>
      <c r="F25" s="35">
        <f>Assumptions!$B$14</f>
        <v>0.45</v>
      </c>
      <c r="G25" s="36">
        <f t="shared" si="0"/>
        <v>0.55000000000000004</v>
      </c>
      <c r="H25" s="37">
        <f>$E25*Assumptions!$B$5*F25</f>
        <v>432</v>
      </c>
      <c r="I25" s="37">
        <f>$E25*Assumptions!$B$5*G25</f>
        <v>528</v>
      </c>
      <c r="J25" s="38">
        <f>H25*Assumptions!$B$9</f>
        <v>84240</v>
      </c>
      <c r="K25" s="38">
        <f>I25*Assumptions!$B$10</f>
        <v>34320</v>
      </c>
      <c r="L25" s="39">
        <f t="shared" si="1"/>
        <v>118560</v>
      </c>
    </row>
    <row r="26" spans="1:12" ht="27.75" customHeight="1" x14ac:dyDescent="0.2">
      <c r="A26" s="22">
        <v>21</v>
      </c>
      <c r="B26" s="23" t="s">
        <v>91</v>
      </c>
      <c r="C26" s="22" t="s">
        <v>46</v>
      </c>
      <c r="D26" s="24">
        <v>3</v>
      </c>
      <c r="E26" s="25">
        <v>4</v>
      </c>
      <c r="F26" s="26">
        <f>Assumptions!$B$15</f>
        <v>0.35</v>
      </c>
      <c r="G26" s="27">
        <f t="shared" si="0"/>
        <v>0.65</v>
      </c>
      <c r="H26" s="28">
        <f>$E26*Assumptions!$B$5*F26</f>
        <v>224</v>
      </c>
      <c r="I26" s="28">
        <f>$E26*Assumptions!$B$5*G26</f>
        <v>416</v>
      </c>
      <c r="J26" s="29">
        <f>H26*Assumptions!$B$9</f>
        <v>43680</v>
      </c>
      <c r="K26" s="29">
        <f>I26*Assumptions!$B$10</f>
        <v>27040</v>
      </c>
      <c r="L26" s="30">
        <f t="shared" si="1"/>
        <v>70720</v>
      </c>
    </row>
    <row r="27" spans="1:12" x14ac:dyDescent="0.2">
      <c r="A27" s="31">
        <v>22</v>
      </c>
      <c r="B27" s="32" t="s">
        <v>95</v>
      </c>
      <c r="C27" s="31" t="s">
        <v>46</v>
      </c>
      <c r="D27" s="33">
        <v>3</v>
      </c>
      <c r="E27" s="34">
        <v>4</v>
      </c>
      <c r="F27" s="35">
        <f>Assumptions!$B$15</f>
        <v>0.35</v>
      </c>
      <c r="G27" s="36">
        <f t="shared" si="0"/>
        <v>0.65</v>
      </c>
      <c r="H27" s="37">
        <f>$E27*Assumptions!$B$5*F27</f>
        <v>224</v>
      </c>
      <c r="I27" s="37">
        <f>$E27*Assumptions!$B$5*G27</f>
        <v>416</v>
      </c>
      <c r="J27" s="38">
        <f>H27*Assumptions!$B$9</f>
        <v>43680</v>
      </c>
      <c r="K27" s="38">
        <f>I27*Assumptions!$B$10</f>
        <v>27040</v>
      </c>
      <c r="L27" s="39">
        <f t="shared" si="1"/>
        <v>70720</v>
      </c>
    </row>
    <row r="28" spans="1:12" ht="27.75" customHeight="1" x14ac:dyDescent="0.2">
      <c r="A28" s="22">
        <v>23</v>
      </c>
      <c r="B28" s="23" t="s">
        <v>98</v>
      </c>
      <c r="C28" s="22" t="s">
        <v>46</v>
      </c>
      <c r="D28" s="24">
        <v>3</v>
      </c>
      <c r="E28" s="25">
        <v>3</v>
      </c>
      <c r="F28" s="26">
        <f>Assumptions!$B$15</f>
        <v>0.35</v>
      </c>
      <c r="G28" s="27">
        <f t="shared" si="0"/>
        <v>0.65</v>
      </c>
      <c r="H28" s="28">
        <f>$E28*Assumptions!$B$5*F28</f>
        <v>168</v>
      </c>
      <c r="I28" s="28">
        <f>$E28*Assumptions!$B$5*G28</f>
        <v>312</v>
      </c>
      <c r="J28" s="29">
        <f>H28*Assumptions!$B$9</f>
        <v>32760</v>
      </c>
      <c r="K28" s="29">
        <f>I28*Assumptions!$B$10</f>
        <v>20280</v>
      </c>
      <c r="L28" s="30">
        <f t="shared" si="1"/>
        <v>53040</v>
      </c>
    </row>
    <row r="29" spans="1:12" x14ac:dyDescent="0.2">
      <c r="A29" s="40"/>
      <c r="B29" s="41" t="s">
        <v>199</v>
      </c>
      <c r="C29" s="40"/>
      <c r="D29" s="40"/>
      <c r="E29" s="42">
        <f>SUM(E6:E28)</f>
        <v>95.5</v>
      </c>
      <c r="F29" s="40"/>
      <c r="G29" s="40"/>
      <c r="H29" s="42">
        <f>SUM(H6:H28)</f>
        <v>7452</v>
      </c>
      <c r="I29" s="42">
        <f>SUM(I6:I28)</f>
        <v>7828</v>
      </c>
      <c r="J29" s="43">
        <f>SUM(J6:J28)</f>
        <v>1453140</v>
      </c>
      <c r="K29" s="43">
        <f>SUM(K6:K28)</f>
        <v>508820</v>
      </c>
      <c r="L29" s="43">
        <f>SUM(L6:L28)</f>
        <v>1961960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F62FE"/>
  </sheetPr>
  <dimension ref="A1:G9"/>
  <sheetViews>
    <sheetView showGridLines="0" zoomScaleNormal="100" workbookViewId="0"/>
  </sheetViews>
  <sheetFormatPr baseColWidth="10" defaultColWidth="8.6640625" defaultRowHeight="15" x14ac:dyDescent="0.2"/>
  <cols>
    <col min="1" max="1" width="10" customWidth="1"/>
    <col min="2" max="2" width="46" customWidth="1"/>
    <col min="3" max="3" width="16" customWidth="1"/>
    <col min="4" max="4" width="12" customWidth="1"/>
    <col min="5" max="5" width="15" customWidth="1"/>
    <col min="6" max="6" width="16" customWidth="1"/>
    <col min="7" max="7" width="18" customWidth="1"/>
  </cols>
  <sheetData>
    <row r="1" spans="1:7" ht="18.75" customHeight="1" x14ac:dyDescent="0.2">
      <c r="A1" s="1" t="s">
        <v>200</v>
      </c>
    </row>
    <row r="2" spans="1:7" x14ac:dyDescent="0.2">
      <c r="A2" s="2" t="s">
        <v>201</v>
      </c>
    </row>
    <row r="4" spans="1:7" ht="27.75" customHeight="1" x14ac:dyDescent="0.2">
      <c r="A4" s="10" t="s">
        <v>5</v>
      </c>
      <c r="B4" s="10" t="s">
        <v>202</v>
      </c>
      <c r="C4" s="10" t="s">
        <v>203</v>
      </c>
      <c r="D4" s="10" t="s">
        <v>204</v>
      </c>
      <c r="E4" s="10" t="s">
        <v>205</v>
      </c>
      <c r="F4" s="10" t="s">
        <v>185</v>
      </c>
      <c r="G4" s="10" t="s">
        <v>206</v>
      </c>
    </row>
    <row r="5" spans="1:7" ht="27.75" customHeight="1" x14ac:dyDescent="0.2">
      <c r="A5" s="44" t="s">
        <v>207</v>
      </c>
      <c r="B5" s="45" t="s">
        <v>208</v>
      </c>
      <c r="C5" s="15">
        <v>1.5</v>
      </c>
      <c r="D5" s="46" t="s">
        <v>209</v>
      </c>
      <c r="E5" s="46" t="s">
        <v>145</v>
      </c>
      <c r="F5" s="19">
        <v>150000</v>
      </c>
      <c r="G5" s="46" t="s">
        <v>145</v>
      </c>
    </row>
    <row r="6" spans="1:7" ht="42" customHeight="1" x14ac:dyDescent="0.2">
      <c r="A6" s="47" t="s">
        <v>210</v>
      </c>
      <c r="B6" s="23" t="s">
        <v>211</v>
      </c>
      <c r="C6" s="48">
        <v>3.5</v>
      </c>
      <c r="D6" s="49">
        <f>COUNTIF('Module Build Cost'!$D$6:$D$28,1)</f>
        <v>12</v>
      </c>
      <c r="E6" s="50">
        <f>SUMIFS('Module Build Cost'!$E$6:$E$28,'Module Build Cost'!$D$6:$D$28,1)</f>
        <v>52.5</v>
      </c>
      <c r="F6" s="51">
        <f>SUMIFS('Module Build Cost'!$L$6:$L$28,'Module Build Cost'!$D$6:$D$28,1)</f>
        <v>1153880</v>
      </c>
      <c r="G6" s="50">
        <f>E6/C6</f>
        <v>15</v>
      </c>
    </row>
    <row r="7" spans="1:7" ht="27.75" customHeight="1" x14ac:dyDescent="0.2">
      <c r="A7" s="52" t="s">
        <v>212</v>
      </c>
      <c r="B7" s="32" t="s">
        <v>213</v>
      </c>
      <c r="C7" s="48">
        <v>3</v>
      </c>
      <c r="D7" s="53">
        <f>COUNTIF('Module Build Cost'!$D$6:$D$28,2)</f>
        <v>5</v>
      </c>
      <c r="E7" s="54">
        <f>SUMIFS('Module Build Cost'!$E$6:$E$28,'Module Build Cost'!$D$6:$D$28,2)</f>
        <v>17</v>
      </c>
      <c r="F7" s="55">
        <f>SUMIFS('Module Build Cost'!$L$6:$L$28,'Module Build Cost'!$D$6:$D$28,2)</f>
        <v>317200</v>
      </c>
      <c r="G7" s="54">
        <f>E7/C7</f>
        <v>5.666666666666667</v>
      </c>
    </row>
    <row r="8" spans="1:7" ht="42" customHeight="1" x14ac:dyDescent="0.2">
      <c r="A8" s="47" t="s">
        <v>214</v>
      </c>
      <c r="B8" s="23" t="s">
        <v>215</v>
      </c>
      <c r="C8" s="48">
        <v>6</v>
      </c>
      <c r="D8" s="49">
        <f>COUNTIF('Module Build Cost'!$D$6:$D$28,3)</f>
        <v>6</v>
      </c>
      <c r="E8" s="50">
        <f>SUMIFS('Module Build Cost'!$E$6:$E$28,'Module Build Cost'!$D$6:$D$28,3)</f>
        <v>26</v>
      </c>
      <c r="F8" s="51">
        <f>SUMIFS('Module Build Cost'!$L$6:$L$28,'Module Build Cost'!$D$6:$D$28,3)</f>
        <v>490880</v>
      </c>
      <c r="G8" s="50">
        <f>E8/C8</f>
        <v>4.333333333333333</v>
      </c>
    </row>
    <row r="9" spans="1:7" x14ac:dyDescent="0.2">
      <c r="A9" s="41" t="s">
        <v>216</v>
      </c>
      <c r="B9" s="41"/>
      <c r="C9" s="56">
        <f>SUM(C5:C8)</f>
        <v>14</v>
      </c>
      <c r="D9" s="57">
        <f>SUM(D6:D8)</f>
        <v>23</v>
      </c>
      <c r="E9" s="56">
        <f>SUM(E6:E8)</f>
        <v>95.5</v>
      </c>
      <c r="F9" s="58">
        <f>SUM(F5:F8)</f>
        <v>2111960</v>
      </c>
      <c r="G9" s="41"/>
    </row>
  </sheetData>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F62FE"/>
  </sheetPr>
  <dimension ref="A1:G24"/>
  <sheetViews>
    <sheetView showGridLines="0" zoomScaleNormal="100" workbookViewId="0"/>
  </sheetViews>
  <sheetFormatPr baseColWidth="10" defaultColWidth="8.6640625" defaultRowHeight="15" x14ac:dyDescent="0.2"/>
  <cols>
    <col min="1" max="1" width="34" customWidth="1"/>
    <col min="2" max="2" width="10" customWidth="1"/>
    <col min="3" max="3" width="12" customWidth="1"/>
    <col min="4" max="7" width="16" customWidth="1"/>
  </cols>
  <sheetData>
    <row r="1" spans="1:7" ht="18.75" customHeight="1" x14ac:dyDescent="0.2">
      <c r="A1" s="1" t="s">
        <v>217</v>
      </c>
    </row>
    <row r="2" spans="1:7" x14ac:dyDescent="0.2">
      <c r="A2" s="2" t="s">
        <v>218</v>
      </c>
    </row>
    <row r="4" spans="1:7" ht="27.75" customHeight="1" x14ac:dyDescent="0.2">
      <c r="A4" s="21" t="s">
        <v>126</v>
      </c>
      <c r="B4" s="21" t="s">
        <v>219</v>
      </c>
      <c r="C4" s="21" t="s">
        <v>179</v>
      </c>
      <c r="D4" s="21" t="s">
        <v>220</v>
      </c>
      <c r="E4" s="21" t="s">
        <v>221</v>
      </c>
      <c r="F4" s="21" t="s">
        <v>222</v>
      </c>
      <c r="G4" s="21" t="s">
        <v>223</v>
      </c>
    </row>
    <row r="5" spans="1:7" x14ac:dyDescent="0.2">
      <c r="A5" s="22" t="s">
        <v>138</v>
      </c>
      <c r="B5" s="59">
        <v>1.5</v>
      </c>
      <c r="C5" s="60">
        <v>0.4</v>
      </c>
      <c r="D5" s="61">
        <f>'Rate Card'!$B$9</f>
        <v>190</v>
      </c>
      <c r="E5" s="61">
        <f>'Rate Card'!$C$9</f>
        <v>65</v>
      </c>
      <c r="F5" s="28">
        <f>B5*Assumptions!$B$5*Assumptions!$B$6</f>
        <v>2880</v>
      </c>
      <c r="G5" s="30">
        <f t="shared" ref="G5:G10" si="0">F5*(C5*D5+(1-C5)*E5)</f>
        <v>331200</v>
      </c>
    </row>
    <row r="6" spans="1:7" x14ac:dyDescent="0.2">
      <c r="A6" s="31" t="s">
        <v>136</v>
      </c>
      <c r="B6" s="59">
        <v>1.5</v>
      </c>
      <c r="C6" s="60">
        <v>0.3</v>
      </c>
      <c r="D6" s="62">
        <f>'Rate Card'!$B$8</f>
        <v>185</v>
      </c>
      <c r="E6" s="62">
        <f>'Rate Card'!$C$8</f>
        <v>60</v>
      </c>
      <c r="F6" s="37">
        <f>B6*Assumptions!$B$5*Assumptions!$B$6</f>
        <v>2880</v>
      </c>
      <c r="G6" s="39">
        <f t="shared" si="0"/>
        <v>280800</v>
      </c>
    </row>
    <row r="7" spans="1:7" x14ac:dyDescent="0.2">
      <c r="A7" s="22" t="s">
        <v>134</v>
      </c>
      <c r="B7" s="59">
        <v>1</v>
      </c>
      <c r="C7" s="60">
        <v>0.6</v>
      </c>
      <c r="D7" s="61">
        <f>'Rate Card'!$B$7</f>
        <v>210</v>
      </c>
      <c r="E7" s="61">
        <f>'Rate Card'!$C$7</f>
        <v>75</v>
      </c>
      <c r="F7" s="28">
        <f>B7*Assumptions!$B$5*Assumptions!$B$6</f>
        <v>1920</v>
      </c>
      <c r="G7" s="30">
        <f t="shared" si="0"/>
        <v>299520</v>
      </c>
    </row>
    <row r="8" spans="1:7" x14ac:dyDescent="0.2">
      <c r="A8" s="31" t="s">
        <v>142</v>
      </c>
      <c r="B8" s="59">
        <v>0.5</v>
      </c>
      <c r="C8" s="60">
        <v>0.2</v>
      </c>
      <c r="D8" s="62">
        <f>'Rate Card'!$B$11</f>
        <v>150</v>
      </c>
      <c r="E8" s="62">
        <f>'Rate Card'!$C$11</f>
        <v>45</v>
      </c>
      <c r="F8" s="37">
        <f>B8*Assumptions!$B$5*Assumptions!$B$6</f>
        <v>960</v>
      </c>
      <c r="G8" s="39">
        <f t="shared" si="0"/>
        <v>63360</v>
      </c>
    </row>
    <row r="9" spans="1:7" x14ac:dyDescent="0.2">
      <c r="A9" s="22" t="s">
        <v>149</v>
      </c>
      <c r="B9" s="59">
        <v>1.5</v>
      </c>
      <c r="C9" s="60">
        <v>0.1</v>
      </c>
      <c r="D9" s="61">
        <f>'Rate Card'!$B$14</f>
        <v>130</v>
      </c>
      <c r="E9" s="61">
        <f>'Rate Card'!$C$14</f>
        <v>40</v>
      </c>
      <c r="F9" s="28">
        <f>B9*Assumptions!$B$5*Assumptions!$B$6</f>
        <v>2880</v>
      </c>
      <c r="G9" s="30">
        <f t="shared" si="0"/>
        <v>141120</v>
      </c>
    </row>
    <row r="10" spans="1:7" x14ac:dyDescent="0.2">
      <c r="A10" s="31" t="s">
        <v>130</v>
      </c>
      <c r="B10" s="59">
        <v>0.5</v>
      </c>
      <c r="C10" s="60">
        <v>1</v>
      </c>
      <c r="D10" s="62">
        <f>'Rate Card'!$B$5</f>
        <v>220</v>
      </c>
      <c r="E10" s="62">
        <f>'Rate Card'!$C$5</f>
        <v>70</v>
      </c>
      <c r="F10" s="37">
        <f>B10*Assumptions!$B$5*Assumptions!$B$6</f>
        <v>960</v>
      </c>
      <c r="G10" s="39">
        <f t="shared" si="0"/>
        <v>211200</v>
      </c>
    </row>
    <row r="11" spans="1:7" x14ac:dyDescent="0.2">
      <c r="A11" s="22" t="s">
        <v>144</v>
      </c>
      <c r="B11" s="59">
        <v>0.25</v>
      </c>
      <c r="C11" s="60">
        <v>1</v>
      </c>
      <c r="D11" s="61">
        <f>'Rate Card'!$B$12</f>
        <v>200</v>
      </c>
      <c r="E11" s="63" t="s">
        <v>145</v>
      </c>
      <c r="F11" s="28">
        <f>B11*Assumptions!$B$5*Assumptions!$B$6</f>
        <v>480</v>
      </c>
      <c r="G11" s="30">
        <f>F11*(C11*D11)</f>
        <v>96000</v>
      </c>
    </row>
    <row r="12" spans="1:7" x14ac:dyDescent="0.2">
      <c r="A12" s="64" t="s">
        <v>224</v>
      </c>
      <c r="B12" s="40"/>
      <c r="C12" s="40"/>
      <c r="D12" s="40"/>
      <c r="E12" s="40"/>
      <c r="F12" s="40"/>
      <c r="G12" s="43">
        <f>SUM(G5:G11)</f>
        <v>1423200</v>
      </c>
    </row>
    <row r="14" spans="1:7" x14ac:dyDescent="0.2">
      <c r="A14" s="65" t="s">
        <v>225</v>
      </c>
    </row>
    <row r="15" spans="1:7" ht="27.75" customHeight="1" x14ac:dyDescent="0.2">
      <c r="A15" s="10" t="s">
        <v>226</v>
      </c>
      <c r="B15" s="10" t="s">
        <v>227</v>
      </c>
      <c r="C15" s="10" t="s">
        <v>155</v>
      </c>
    </row>
    <row r="16" spans="1:7" x14ac:dyDescent="0.2">
      <c r="A16" s="66" t="s">
        <v>228</v>
      </c>
      <c r="B16" s="67">
        <v>600000</v>
      </c>
      <c r="C16" s="68" t="s">
        <v>229</v>
      </c>
    </row>
    <row r="17" spans="1:3" x14ac:dyDescent="0.2">
      <c r="A17" s="66" t="s">
        <v>230</v>
      </c>
      <c r="B17" s="67">
        <v>180000</v>
      </c>
      <c r="C17" s="68" t="s">
        <v>231</v>
      </c>
    </row>
    <row r="18" spans="1:3" x14ac:dyDescent="0.2">
      <c r="A18" s="66" t="s">
        <v>232</v>
      </c>
      <c r="B18" s="67">
        <v>70000</v>
      </c>
      <c r="C18" s="68" t="s">
        <v>233</v>
      </c>
    </row>
    <row r="19" spans="1:3" x14ac:dyDescent="0.2">
      <c r="A19" s="64" t="s">
        <v>234</v>
      </c>
      <c r="B19" s="43">
        <f>SUM(B16:B18)</f>
        <v>850000</v>
      </c>
      <c r="C19" s="40"/>
    </row>
    <row r="21" spans="1:3" x14ac:dyDescent="0.2">
      <c r="A21" s="69" t="s">
        <v>235</v>
      </c>
      <c r="B21" s="70">
        <f>G12+B19</f>
        <v>2273200</v>
      </c>
    </row>
    <row r="23" spans="1:3" x14ac:dyDescent="0.2">
      <c r="A23" s="4" t="s">
        <v>236</v>
      </c>
      <c r="B23" s="20">
        <v>0.4</v>
      </c>
      <c r="C23" s="71" t="s">
        <v>237</v>
      </c>
    </row>
    <row r="24" spans="1:3" x14ac:dyDescent="0.2">
      <c r="A24" s="41" t="s">
        <v>238</v>
      </c>
      <c r="B24" s="58">
        <f>B21*B23</f>
        <v>909280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F62FE"/>
  </sheetPr>
  <dimension ref="A1:C28"/>
  <sheetViews>
    <sheetView showGridLines="0" zoomScaleNormal="100" workbookViewId="0"/>
  </sheetViews>
  <sheetFormatPr baseColWidth="10" defaultColWidth="8.6640625" defaultRowHeight="15" x14ac:dyDescent="0.2"/>
  <cols>
    <col min="1" max="1" width="48" customWidth="1"/>
    <col min="2" max="2" width="18" customWidth="1"/>
    <col min="3" max="3" width="52" customWidth="1"/>
  </cols>
  <sheetData>
    <row r="1" spans="1:3" ht="18.75" customHeight="1" x14ac:dyDescent="0.2">
      <c r="A1" s="1" t="s">
        <v>239</v>
      </c>
    </row>
    <row r="2" spans="1:3" ht="27.75" customHeight="1" x14ac:dyDescent="0.2">
      <c r="A2" s="72" t="s">
        <v>240</v>
      </c>
    </row>
    <row r="4" spans="1:3" x14ac:dyDescent="0.2">
      <c r="A4" s="10" t="s">
        <v>241</v>
      </c>
      <c r="B4" s="10" t="s">
        <v>154</v>
      </c>
      <c r="C4" s="10" t="s">
        <v>155</v>
      </c>
    </row>
    <row r="5" spans="1:3" x14ac:dyDescent="0.2">
      <c r="A5" s="73" t="s">
        <v>242</v>
      </c>
      <c r="B5" s="74">
        <v>7500</v>
      </c>
      <c r="C5" s="68" t="s">
        <v>243</v>
      </c>
    </row>
    <row r="6" spans="1:3" x14ac:dyDescent="0.2">
      <c r="A6" s="73" t="s">
        <v>244</v>
      </c>
      <c r="B6" s="75">
        <v>0.35</v>
      </c>
      <c r="C6" s="68" t="s">
        <v>245</v>
      </c>
    </row>
    <row r="7" spans="1:3" x14ac:dyDescent="0.2">
      <c r="A7" s="73" t="s">
        <v>246</v>
      </c>
      <c r="B7" s="76">
        <v>1800</v>
      </c>
      <c r="C7" s="68" t="s">
        <v>247</v>
      </c>
    </row>
    <row r="8" spans="1:3" x14ac:dyDescent="0.2">
      <c r="A8" s="73" t="s">
        <v>248</v>
      </c>
      <c r="B8" s="77">
        <v>0.1</v>
      </c>
      <c r="C8" s="68" t="s">
        <v>249</v>
      </c>
    </row>
    <row r="10" spans="1:3" x14ac:dyDescent="0.2">
      <c r="A10" s="10" t="s">
        <v>250</v>
      </c>
      <c r="B10" s="10" t="s">
        <v>154</v>
      </c>
      <c r="C10" s="10" t="s">
        <v>251</v>
      </c>
    </row>
    <row r="11" spans="1:3" x14ac:dyDescent="0.2">
      <c r="A11" s="73" t="s">
        <v>252</v>
      </c>
      <c r="B11" s="78">
        <f>B5*B6</f>
        <v>2625</v>
      </c>
      <c r="C11" s="68" t="s">
        <v>253</v>
      </c>
    </row>
    <row r="12" spans="1:3" x14ac:dyDescent="0.2">
      <c r="A12" s="73" t="s">
        <v>254</v>
      </c>
      <c r="B12" s="78">
        <f>B11*B8</f>
        <v>262.5</v>
      </c>
      <c r="C12" s="68" t="s">
        <v>255</v>
      </c>
    </row>
    <row r="13" spans="1:3" x14ac:dyDescent="0.2">
      <c r="A13" s="73" t="s">
        <v>256</v>
      </c>
      <c r="B13" s="79">
        <f>B12*B7</f>
        <v>472500</v>
      </c>
      <c r="C13" s="68" t="s">
        <v>257</v>
      </c>
    </row>
    <row r="15" spans="1:3" x14ac:dyDescent="0.2">
      <c r="A15" s="73" t="s">
        <v>258</v>
      </c>
      <c r="B15" s="79">
        <f>'Phase Summary'!$F$6</f>
        <v>1153880</v>
      </c>
      <c r="C15" s="68" t="s">
        <v>259</v>
      </c>
    </row>
    <row r="16" spans="1:3" x14ac:dyDescent="0.2">
      <c r="A16" s="73" t="s">
        <v>260</v>
      </c>
      <c r="B16" s="79">
        <f>'Run &amp; Maintain'!$B$24</f>
        <v>909280</v>
      </c>
      <c r="C16" s="68" t="s">
        <v>261</v>
      </c>
    </row>
    <row r="17" spans="1:3" x14ac:dyDescent="0.2">
      <c r="A17" s="73" t="s">
        <v>262</v>
      </c>
      <c r="B17" s="79">
        <f>B15+B16</f>
        <v>2063160</v>
      </c>
      <c r="C17" s="68" t="s">
        <v>263</v>
      </c>
    </row>
    <row r="18" spans="1:3" x14ac:dyDescent="0.2">
      <c r="A18" s="80" t="s">
        <v>264</v>
      </c>
      <c r="B18" s="81">
        <f>IF(B13=0,"n/a",B17/B13)</f>
        <v>4.3664761904761908</v>
      </c>
      <c r="C18" s="80" t="s">
        <v>265</v>
      </c>
    </row>
    <row r="20" spans="1:3" x14ac:dyDescent="0.2">
      <c r="A20" s="65" t="s">
        <v>266</v>
      </c>
    </row>
    <row r="21" spans="1:3" x14ac:dyDescent="0.2">
      <c r="A21" s="73" t="s">
        <v>267</v>
      </c>
      <c r="B21" s="82">
        <v>4</v>
      </c>
      <c r="C21" s="68" t="s">
        <v>268</v>
      </c>
    </row>
    <row r="22" spans="1:3" x14ac:dyDescent="0.2">
      <c r="A22" s="73" t="s">
        <v>269</v>
      </c>
      <c r="B22" s="79">
        <f>B13*B21</f>
        <v>1890000</v>
      </c>
      <c r="C22" s="68" t="s">
        <v>270</v>
      </c>
    </row>
    <row r="23" spans="1:3" x14ac:dyDescent="0.2">
      <c r="A23" s="73" t="s">
        <v>271</v>
      </c>
      <c r="B23" s="79">
        <f>'Phase Summary'!$F$9</f>
        <v>2111960</v>
      </c>
      <c r="C23" s="68" t="s">
        <v>272</v>
      </c>
    </row>
    <row r="24" spans="1:3" x14ac:dyDescent="0.2">
      <c r="A24" s="73" t="s">
        <v>273</v>
      </c>
      <c r="B24" s="79">
        <f>'Run &amp; Maintain'!$B$21</f>
        <v>2273200</v>
      </c>
      <c r="C24" s="68" t="s">
        <v>274</v>
      </c>
    </row>
    <row r="25" spans="1:3" x14ac:dyDescent="0.2">
      <c r="A25" s="73" t="s">
        <v>275</v>
      </c>
      <c r="B25" s="79">
        <f>B23+B24</f>
        <v>4385160</v>
      </c>
      <c r="C25" s="68" t="s">
        <v>276</v>
      </c>
    </row>
    <row r="26" spans="1:3" x14ac:dyDescent="0.2">
      <c r="A26" s="80" t="s">
        <v>277</v>
      </c>
      <c r="B26" s="81">
        <f>IF(B22=0,"n/a",B25/B22)</f>
        <v>2.3201904761904761</v>
      </c>
      <c r="C26" s="80" t="s">
        <v>278</v>
      </c>
    </row>
    <row r="28" spans="1:3" ht="30" customHeight="1" x14ac:dyDescent="0.2">
      <c r="A28" s="141" t="s">
        <v>279</v>
      </c>
      <c r="B28" s="140"/>
      <c r="C28" s="140"/>
    </row>
  </sheetData>
  <mergeCells count="1">
    <mergeCell ref="A28:C28"/>
  </mergeCell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F62FE"/>
  </sheetPr>
  <dimension ref="A1:E10"/>
  <sheetViews>
    <sheetView showGridLines="0" zoomScaleNormal="100" workbookViewId="0"/>
  </sheetViews>
  <sheetFormatPr baseColWidth="10" defaultColWidth="8.6640625" defaultRowHeight="15" x14ac:dyDescent="0.2"/>
  <cols>
    <col min="1" max="1" width="10" customWidth="1"/>
    <col min="2" max="2" width="46" customWidth="1"/>
    <col min="3" max="5" width="16" customWidth="1"/>
  </cols>
  <sheetData>
    <row r="1" spans="1:5" ht="18.75" customHeight="1" x14ac:dyDescent="0.2">
      <c r="A1" s="1" t="s">
        <v>280</v>
      </c>
    </row>
    <row r="2" spans="1:5" x14ac:dyDescent="0.2">
      <c r="A2" s="2" t="s">
        <v>281</v>
      </c>
    </row>
    <row r="4" spans="1:5" x14ac:dyDescent="0.2">
      <c r="A4" s="10" t="s">
        <v>5</v>
      </c>
      <c r="B4" s="10" t="s">
        <v>202</v>
      </c>
      <c r="C4" s="10" t="s">
        <v>282</v>
      </c>
      <c r="D4" s="10" t="s">
        <v>203</v>
      </c>
      <c r="E4" s="10" t="s">
        <v>283</v>
      </c>
    </row>
    <row r="5" spans="1:5" ht="27.75" customHeight="1" x14ac:dyDescent="0.2">
      <c r="A5" s="47" t="s">
        <v>207</v>
      </c>
      <c r="B5" s="83" t="str">
        <f>'Phase Summary'!B5</f>
        <v>Discovery &amp; Foundation Setup (environment, security baseline, cohort selection, integration design)</v>
      </c>
      <c r="C5" s="84">
        <v>0</v>
      </c>
      <c r="D5" s="85">
        <f>'Phase Summary'!C5</f>
        <v>1.5</v>
      </c>
      <c r="E5" s="50">
        <f>C5+D5</f>
        <v>1.5</v>
      </c>
    </row>
    <row r="6" spans="1:5" ht="42" customHeight="1" x14ac:dyDescent="0.2">
      <c r="A6" s="52" t="s">
        <v>210</v>
      </c>
      <c r="B6" s="86" t="str">
        <f>'Phase Summary'!B6</f>
        <v>MVP / First Value — core platform + Care Manager &amp; CBO workflow + 4 priority connectors, one high-risk cohort</v>
      </c>
      <c r="C6" s="54">
        <f>E5</f>
        <v>1.5</v>
      </c>
      <c r="D6" s="87">
        <f>'Phase Summary'!C6</f>
        <v>3.5</v>
      </c>
      <c r="E6" s="54">
        <f>C6+D6</f>
        <v>5</v>
      </c>
    </row>
    <row r="7" spans="1:5" ht="27.75" customHeight="1" x14ac:dyDescent="0.2">
      <c r="A7" s="47" t="s">
        <v>212</v>
      </c>
      <c r="B7" s="83" t="str">
        <f>'Phase Summary'!B7</f>
        <v>Expand Reach &amp; Real-Time — Provider &amp; Resident modules, BH connector, Patient/Provider Access APIs</v>
      </c>
      <c r="C7" s="50">
        <f>E6</f>
        <v>5</v>
      </c>
      <c r="D7" s="85">
        <f>'Phase Summary'!C7</f>
        <v>3</v>
      </c>
      <c r="E7" s="50">
        <f>C7+D7</f>
        <v>8</v>
      </c>
    </row>
    <row r="8" spans="1:5" ht="42" customHeight="1" x14ac:dyDescent="0.2">
      <c r="A8" s="52" t="s">
        <v>214</v>
      </c>
      <c r="B8" s="86" t="str">
        <f>'Phase Summary'!B8</f>
        <v>Program &amp; Population Scale — county/MCO analytics, RHTP Director console, VBC module, EDW/APCD/public health</v>
      </c>
      <c r="C8" s="54">
        <f>E7</f>
        <v>8</v>
      </c>
      <c r="D8" s="87">
        <f>'Phase Summary'!C8</f>
        <v>6</v>
      </c>
      <c r="E8" s="54">
        <f>C8+D8</f>
        <v>14</v>
      </c>
    </row>
    <row r="10" spans="1:5" x14ac:dyDescent="0.2">
      <c r="A10" s="16" t="s">
        <v>284</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F62FE"/>
  </sheetPr>
  <dimension ref="A1:I56"/>
  <sheetViews>
    <sheetView showGridLines="0" zoomScaleNormal="100" workbookViewId="0">
      <pane ySplit="5" topLeftCell="A6" activePane="bottomLeft" state="frozen"/>
      <selection pane="bottomLeft"/>
    </sheetView>
  </sheetViews>
  <sheetFormatPr baseColWidth="10" defaultColWidth="8.6640625" defaultRowHeight="15" x14ac:dyDescent="0.2"/>
  <cols>
    <col min="1" max="1" width="4" customWidth="1"/>
    <col min="2" max="2" width="46" customWidth="1"/>
    <col min="3" max="3" width="16" customWidth="1"/>
    <col min="4" max="4" width="10" customWidth="1"/>
    <col min="5" max="7" width="13" customWidth="1"/>
    <col min="8" max="9" width="15" customWidth="1"/>
  </cols>
  <sheetData>
    <row r="1" spans="1:9" ht="18.75" customHeight="1" x14ac:dyDescent="0.2">
      <c r="A1" s="1" t="s">
        <v>285</v>
      </c>
    </row>
    <row r="2" spans="1:9" ht="43.5" customHeight="1" x14ac:dyDescent="0.2">
      <c r="A2" s="72" t="s">
        <v>286</v>
      </c>
    </row>
    <row r="5" spans="1:9" ht="25.5" customHeight="1" x14ac:dyDescent="0.2">
      <c r="A5" s="88" t="s">
        <v>2</v>
      </c>
      <c r="B5" s="88" t="s">
        <v>3</v>
      </c>
      <c r="C5" s="88" t="s">
        <v>4</v>
      </c>
      <c r="D5" s="88" t="s">
        <v>5</v>
      </c>
      <c r="E5" s="88" t="s">
        <v>287</v>
      </c>
      <c r="F5" s="88" t="s">
        <v>288</v>
      </c>
      <c r="G5" s="88" t="s">
        <v>289</v>
      </c>
      <c r="H5" s="88" t="s">
        <v>290</v>
      </c>
      <c r="I5" s="88" t="s">
        <v>291</v>
      </c>
    </row>
    <row r="6" spans="1:9" ht="25.5" customHeight="1" x14ac:dyDescent="0.2">
      <c r="A6" s="89">
        <v>1</v>
      </c>
      <c r="B6" s="90" t="s">
        <v>186</v>
      </c>
      <c r="C6" s="89" t="s">
        <v>12</v>
      </c>
      <c r="D6" s="91">
        <v>1</v>
      </c>
      <c r="E6" s="92">
        <f>'Module Build Cost'!E6</f>
        <v>8</v>
      </c>
      <c r="F6" s="93">
        <v>0.35</v>
      </c>
      <c r="G6" s="94">
        <f t="shared" ref="G6:G28" si="0">E6*(1-F6)</f>
        <v>5.2</v>
      </c>
      <c r="H6" s="95">
        <f>'Module Build Cost'!L6</f>
        <v>191360</v>
      </c>
      <c r="I6" s="96">
        <f t="shared" ref="I6:I28" si="1">H6*(1-F6)</f>
        <v>124384</v>
      </c>
    </row>
    <row r="7" spans="1:9" x14ac:dyDescent="0.2">
      <c r="A7" s="97">
        <v>2</v>
      </c>
      <c r="B7" s="98" t="s">
        <v>16</v>
      </c>
      <c r="C7" s="97" t="s">
        <v>12</v>
      </c>
      <c r="D7" s="99">
        <v>1</v>
      </c>
      <c r="E7" s="100">
        <f>'Module Build Cost'!E7</f>
        <v>6</v>
      </c>
      <c r="F7" s="93">
        <v>0.05</v>
      </c>
      <c r="G7" s="101">
        <f t="shared" si="0"/>
        <v>5.6999999999999993</v>
      </c>
      <c r="H7" s="102">
        <f>'Module Build Cost'!L7</f>
        <v>143520</v>
      </c>
      <c r="I7" s="103">
        <f t="shared" si="1"/>
        <v>136344</v>
      </c>
    </row>
    <row r="8" spans="1:9" ht="25.5" customHeight="1" x14ac:dyDescent="0.2">
      <c r="A8" s="89">
        <v>3</v>
      </c>
      <c r="B8" s="90" t="s">
        <v>187</v>
      </c>
      <c r="C8" s="89" t="s">
        <v>12</v>
      </c>
      <c r="D8" s="91">
        <v>1</v>
      </c>
      <c r="E8" s="92">
        <f>'Module Build Cost'!E8</f>
        <v>4</v>
      </c>
      <c r="F8" s="93">
        <v>0.1</v>
      </c>
      <c r="G8" s="94">
        <f t="shared" si="0"/>
        <v>3.6</v>
      </c>
      <c r="H8" s="95">
        <f>'Module Build Cost'!L8</f>
        <v>95680</v>
      </c>
      <c r="I8" s="96">
        <f t="shared" si="1"/>
        <v>86112</v>
      </c>
    </row>
    <row r="9" spans="1:9" ht="25.5" customHeight="1" x14ac:dyDescent="0.2">
      <c r="A9" s="97">
        <v>4</v>
      </c>
      <c r="B9" s="98" t="s">
        <v>188</v>
      </c>
      <c r="C9" s="97" t="s">
        <v>12</v>
      </c>
      <c r="D9" s="99">
        <v>1</v>
      </c>
      <c r="E9" s="100">
        <f>'Module Build Cost'!E9</f>
        <v>10</v>
      </c>
      <c r="F9" s="93">
        <v>0.05</v>
      </c>
      <c r="G9" s="101">
        <f t="shared" si="0"/>
        <v>9.5</v>
      </c>
      <c r="H9" s="102">
        <f>'Module Build Cost'!L9</f>
        <v>239200</v>
      </c>
      <c r="I9" s="103">
        <f t="shared" si="1"/>
        <v>227240</v>
      </c>
    </row>
    <row r="10" spans="1:9" ht="25.5" customHeight="1" x14ac:dyDescent="0.2">
      <c r="A10" s="89">
        <v>5</v>
      </c>
      <c r="B10" s="90" t="s">
        <v>189</v>
      </c>
      <c r="C10" s="89" t="s">
        <v>12</v>
      </c>
      <c r="D10" s="91">
        <v>1</v>
      </c>
      <c r="E10" s="92">
        <f>'Module Build Cost'!E10</f>
        <v>5</v>
      </c>
      <c r="F10" s="93">
        <v>0.25</v>
      </c>
      <c r="G10" s="94">
        <f t="shared" si="0"/>
        <v>3.75</v>
      </c>
      <c r="H10" s="95">
        <f>'Module Build Cost'!L10</f>
        <v>119600</v>
      </c>
      <c r="I10" s="96">
        <f t="shared" si="1"/>
        <v>89700</v>
      </c>
    </row>
    <row r="11" spans="1:9" ht="25.5" customHeight="1" x14ac:dyDescent="0.2">
      <c r="A11" s="97">
        <v>6</v>
      </c>
      <c r="B11" s="98" t="s">
        <v>190</v>
      </c>
      <c r="C11" s="97" t="s">
        <v>33</v>
      </c>
      <c r="D11" s="99">
        <v>1</v>
      </c>
      <c r="E11" s="100">
        <f>'Module Build Cost'!E11</f>
        <v>5</v>
      </c>
      <c r="F11" s="93">
        <v>0.1</v>
      </c>
      <c r="G11" s="101">
        <f t="shared" si="0"/>
        <v>4.5</v>
      </c>
      <c r="H11" s="102">
        <f>'Module Build Cost'!L11</f>
        <v>98800</v>
      </c>
      <c r="I11" s="103">
        <f t="shared" si="1"/>
        <v>88920</v>
      </c>
    </row>
    <row r="12" spans="1:9" ht="25.5" customHeight="1" x14ac:dyDescent="0.2">
      <c r="A12" s="89">
        <v>7</v>
      </c>
      <c r="B12" s="90" t="s">
        <v>191</v>
      </c>
      <c r="C12" s="89" t="s">
        <v>33</v>
      </c>
      <c r="D12" s="91">
        <v>1</v>
      </c>
      <c r="E12" s="92">
        <f>'Module Build Cost'!E12</f>
        <v>1.5</v>
      </c>
      <c r="F12" s="93">
        <v>0.1</v>
      </c>
      <c r="G12" s="94">
        <f t="shared" si="0"/>
        <v>1.35</v>
      </c>
      <c r="H12" s="95">
        <f>'Module Build Cost'!L12</f>
        <v>29640</v>
      </c>
      <c r="I12" s="96">
        <f t="shared" si="1"/>
        <v>26676</v>
      </c>
    </row>
    <row r="13" spans="1:9" ht="25.5" customHeight="1" x14ac:dyDescent="0.2">
      <c r="A13" s="97">
        <v>8</v>
      </c>
      <c r="B13" s="98" t="s">
        <v>192</v>
      </c>
      <c r="C13" s="97" t="s">
        <v>33</v>
      </c>
      <c r="D13" s="99">
        <v>1</v>
      </c>
      <c r="E13" s="100">
        <f>'Module Build Cost'!E13</f>
        <v>3</v>
      </c>
      <c r="F13" s="93">
        <v>0.65</v>
      </c>
      <c r="G13" s="101">
        <f t="shared" si="0"/>
        <v>1.0499999999999998</v>
      </c>
      <c r="H13" s="102">
        <f>'Module Build Cost'!L13</f>
        <v>59280</v>
      </c>
      <c r="I13" s="103">
        <f t="shared" si="1"/>
        <v>20748</v>
      </c>
    </row>
    <row r="14" spans="1:9" x14ac:dyDescent="0.2">
      <c r="A14" s="89">
        <v>9</v>
      </c>
      <c r="B14" s="90" t="s">
        <v>45</v>
      </c>
      <c r="C14" s="89" t="s">
        <v>46</v>
      </c>
      <c r="D14" s="91">
        <v>1</v>
      </c>
      <c r="E14" s="92">
        <f>'Module Build Cost'!E14</f>
        <v>3</v>
      </c>
      <c r="F14" s="93">
        <v>0.45</v>
      </c>
      <c r="G14" s="94">
        <f t="shared" si="0"/>
        <v>1.6500000000000001</v>
      </c>
      <c r="H14" s="95">
        <f>'Module Build Cost'!L14</f>
        <v>53040</v>
      </c>
      <c r="I14" s="96">
        <f t="shared" si="1"/>
        <v>29172.000000000004</v>
      </c>
    </row>
    <row r="15" spans="1:9" x14ac:dyDescent="0.2">
      <c r="A15" s="97">
        <v>10</v>
      </c>
      <c r="B15" s="98" t="s">
        <v>50</v>
      </c>
      <c r="C15" s="97" t="s">
        <v>46</v>
      </c>
      <c r="D15" s="99">
        <v>1</v>
      </c>
      <c r="E15" s="100">
        <f>'Module Build Cost'!E15</f>
        <v>3</v>
      </c>
      <c r="F15" s="93">
        <v>0.4</v>
      </c>
      <c r="G15" s="101">
        <f t="shared" si="0"/>
        <v>1.7999999999999998</v>
      </c>
      <c r="H15" s="102">
        <f>'Module Build Cost'!L15</f>
        <v>53040</v>
      </c>
      <c r="I15" s="103">
        <f t="shared" si="1"/>
        <v>31824</v>
      </c>
    </row>
    <row r="16" spans="1:9" x14ac:dyDescent="0.2">
      <c r="A16" s="89">
        <v>11</v>
      </c>
      <c r="B16" s="90" t="s">
        <v>193</v>
      </c>
      <c r="C16" s="89" t="s">
        <v>46</v>
      </c>
      <c r="D16" s="91">
        <v>1</v>
      </c>
      <c r="E16" s="92">
        <f>'Module Build Cost'!E16</f>
        <v>2</v>
      </c>
      <c r="F16" s="93">
        <v>0.1</v>
      </c>
      <c r="G16" s="94">
        <f t="shared" si="0"/>
        <v>1.8</v>
      </c>
      <c r="H16" s="95">
        <f>'Module Build Cost'!L16</f>
        <v>35360</v>
      </c>
      <c r="I16" s="96">
        <f t="shared" si="1"/>
        <v>31824</v>
      </c>
    </row>
    <row r="17" spans="1:9" x14ac:dyDescent="0.2">
      <c r="A17" s="97">
        <v>12</v>
      </c>
      <c r="B17" s="98" t="s">
        <v>57</v>
      </c>
      <c r="C17" s="97" t="s">
        <v>46</v>
      </c>
      <c r="D17" s="99">
        <v>1</v>
      </c>
      <c r="E17" s="100">
        <f>'Module Build Cost'!E17</f>
        <v>2</v>
      </c>
      <c r="F17" s="93">
        <v>0.7</v>
      </c>
      <c r="G17" s="101">
        <f t="shared" si="0"/>
        <v>0.60000000000000009</v>
      </c>
      <c r="H17" s="102">
        <f>'Module Build Cost'!L17</f>
        <v>35360</v>
      </c>
      <c r="I17" s="103">
        <f t="shared" si="1"/>
        <v>10608.000000000002</v>
      </c>
    </row>
    <row r="18" spans="1:9" ht="25.5" customHeight="1" x14ac:dyDescent="0.2">
      <c r="A18" s="89">
        <v>13</v>
      </c>
      <c r="B18" s="90" t="s">
        <v>194</v>
      </c>
      <c r="C18" s="89" t="s">
        <v>33</v>
      </c>
      <c r="D18" s="91">
        <v>2</v>
      </c>
      <c r="E18" s="92">
        <f>'Module Build Cost'!E18</f>
        <v>4</v>
      </c>
      <c r="F18" s="93">
        <v>0.1</v>
      </c>
      <c r="G18" s="94">
        <f t="shared" si="0"/>
        <v>3.6</v>
      </c>
      <c r="H18" s="95">
        <f>'Module Build Cost'!L18</f>
        <v>79040</v>
      </c>
      <c r="I18" s="96">
        <f t="shared" si="1"/>
        <v>71136</v>
      </c>
    </row>
    <row r="19" spans="1:9" ht="25.5" customHeight="1" x14ac:dyDescent="0.2">
      <c r="A19" s="97">
        <v>14</v>
      </c>
      <c r="B19" s="98" t="s">
        <v>195</v>
      </c>
      <c r="C19" s="97" t="s">
        <v>33</v>
      </c>
      <c r="D19" s="99">
        <v>2</v>
      </c>
      <c r="E19" s="100">
        <f>'Module Build Cost'!E19</f>
        <v>4</v>
      </c>
      <c r="F19" s="93">
        <v>0.15</v>
      </c>
      <c r="G19" s="101">
        <f t="shared" si="0"/>
        <v>3.4</v>
      </c>
      <c r="H19" s="102">
        <f>'Module Build Cost'!L19</f>
        <v>79040</v>
      </c>
      <c r="I19" s="103">
        <f t="shared" si="1"/>
        <v>67184</v>
      </c>
    </row>
    <row r="20" spans="1:9" x14ac:dyDescent="0.2">
      <c r="A20" s="89">
        <v>15</v>
      </c>
      <c r="B20" s="90" t="s">
        <v>69</v>
      </c>
      <c r="C20" s="89" t="s">
        <v>46</v>
      </c>
      <c r="D20" s="91">
        <v>2</v>
      </c>
      <c r="E20" s="92">
        <f>'Module Build Cost'!E20</f>
        <v>3</v>
      </c>
      <c r="F20" s="93">
        <v>0.25</v>
      </c>
      <c r="G20" s="94">
        <f t="shared" si="0"/>
        <v>2.25</v>
      </c>
      <c r="H20" s="95">
        <f>'Module Build Cost'!L20</f>
        <v>53040</v>
      </c>
      <c r="I20" s="96">
        <f t="shared" si="1"/>
        <v>39780</v>
      </c>
    </row>
    <row r="21" spans="1:9" x14ac:dyDescent="0.2">
      <c r="A21" s="97">
        <v>16</v>
      </c>
      <c r="B21" s="98" t="s">
        <v>196</v>
      </c>
      <c r="C21" s="97" t="s">
        <v>46</v>
      </c>
      <c r="D21" s="99">
        <v>2</v>
      </c>
      <c r="E21" s="100">
        <f>'Module Build Cost'!E21</f>
        <v>3</v>
      </c>
      <c r="F21" s="93">
        <v>0.3</v>
      </c>
      <c r="G21" s="101">
        <f t="shared" si="0"/>
        <v>2.0999999999999996</v>
      </c>
      <c r="H21" s="102">
        <f>'Module Build Cost'!L21</f>
        <v>53040</v>
      </c>
      <c r="I21" s="103">
        <f t="shared" si="1"/>
        <v>37128</v>
      </c>
    </row>
    <row r="22" spans="1:9" x14ac:dyDescent="0.2">
      <c r="A22" s="89">
        <v>17</v>
      </c>
      <c r="B22" s="90" t="s">
        <v>197</v>
      </c>
      <c r="C22" s="89" t="s">
        <v>46</v>
      </c>
      <c r="D22" s="91">
        <v>2</v>
      </c>
      <c r="E22" s="92">
        <f>'Module Build Cost'!E22</f>
        <v>3</v>
      </c>
      <c r="F22" s="93">
        <v>0.3</v>
      </c>
      <c r="G22" s="94">
        <f t="shared" si="0"/>
        <v>2.0999999999999996</v>
      </c>
      <c r="H22" s="95">
        <f>'Module Build Cost'!L22</f>
        <v>53040</v>
      </c>
      <c r="I22" s="96">
        <f t="shared" si="1"/>
        <v>37128</v>
      </c>
    </row>
    <row r="23" spans="1:9" x14ac:dyDescent="0.2">
      <c r="A23" s="97">
        <v>18</v>
      </c>
      <c r="B23" s="98" t="s">
        <v>79</v>
      </c>
      <c r="C23" s="97" t="s">
        <v>33</v>
      </c>
      <c r="D23" s="99">
        <v>3</v>
      </c>
      <c r="E23" s="100">
        <f>'Module Build Cost'!E23</f>
        <v>5</v>
      </c>
      <c r="F23" s="93">
        <v>0.15</v>
      </c>
      <c r="G23" s="101">
        <f t="shared" si="0"/>
        <v>4.25</v>
      </c>
      <c r="H23" s="102">
        <f>'Module Build Cost'!L23</f>
        <v>98800</v>
      </c>
      <c r="I23" s="103">
        <f t="shared" si="1"/>
        <v>83980</v>
      </c>
    </row>
    <row r="24" spans="1:9" ht="25.5" customHeight="1" x14ac:dyDescent="0.2">
      <c r="A24" s="89">
        <v>19</v>
      </c>
      <c r="B24" s="90" t="s">
        <v>198</v>
      </c>
      <c r="C24" s="89" t="s">
        <v>33</v>
      </c>
      <c r="D24" s="91">
        <v>3</v>
      </c>
      <c r="E24" s="92">
        <f>'Module Build Cost'!E24</f>
        <v>4</v>
      </c>
      <c r="F24" s="93">
        <v>0.1</v>
      </c>
      <c r="G24" s="94">
        <f t="shared" si="0"/>
        <v>3.6</v>
      </c>
      <c r="H24" s="95">
        <f>'Module Build Cost'!L24</f>
        <v>79040</v>
      </c>
      <c r="I24" s="96">
        <f t="shared" si="1"/>
        <v>71136</v>
      </c>
    </row>
    <row r="25" spans="1:9" x14ac:dyDescent="0.2">
      <c r="A25" s="97">
        <v>20</v>
      </c>
      <c r="B25" s="98" t="s">
        <v>87</v>
      </c>
      <c r="C25" s="97" t="s">
        <v>33</v>
      </c>
      <c r="D25" s="99">
        <v>3</v>
      </c>
      <c r="E25" s="100">
        <f>'Module Build Cost'!E25</f>
        <v>6</v>
      </c>
      <c r="F25" s="93">
        <v>0.15</v>
      </c>
      <c r="G25" s="101">
        <f t="shared" si="0"/>
        <v>5.0999999999999996</v>
      </c>
      <c r="H25" s="102">
        <f>'Module Build Cost'!L25</f>
        <v>118560</v>
      </c>
      <c r="I25" s="103">
        <f t="shared" si="1"/>
        <v>100776</v>
      </c>
    </row>
    <row r="26" spans="1:9" x14ac:dyDescent="0.2">
      <c r="A26" s="89">
        <v>21</v>
      </c>
      <c r="B26" s="90" t="s">
        <v>91</v>
      </c>
      <c r="C26" s="89" t="s">
        <v>46</v>
      </c>
      <c r="D26" s="91">
        <v>3</v>
      </c>
      <c r="E26" s="92">
        <f>'Module Build Cost'!E26</f>
        <v>4</v>
      </c>
      <c r="F26" s="93">
        <v>0.2</v>
      </c>
      <c r="G26" s="94">
        <f t="shared" si="0"/>
        <v>3.2</v>
      </c>
      <c r="H26" s="95">
        <f>'Module Build Cost'!L26</f>
        <v>70720</v>
      </c>
      <c r="I26" s="96">
        <f t="shared" si="1"/>
        <v>56576</v>
      </c>
    </row>
    <row r="27" spans="1:9" x14ac:dyDescent="0.2">
      <c r="A27" s="97">
        <v>22</v>
      </c>
      <c r="B27" s="98" t="s">
        <v>95</v>
      </c>
      <c r="C27" s="97" t="s">
        <v>46</v>
      </c>
      <c r="D27" s="99">
        <v>3</v>
      </c>
      <c r="E27" s="100">
        <f>'Module Build Cost'!E27</f>
        <v>4</v>
      </c>
      <c r="F27" s="93">
        <v>0.2</v>
      </c>
      <c r="G27" s="101">
        <f t="shared" si="0"/>
        <v>3.2</v>
      </c>
      <c r="H27" s="102">
        <f>'Module Build Cost'!L27</f>
        <v>70720</v>
      </c>
      <c r="I27" s="103">
        <f t="shared" si="1"/>
        <v>56576</v>
      </c>
    </row>
    <row r="28" spans="1:9" ht="25.5" customHeight="1" x14ac:dyDescent="0.2">
      <c r="A28" s="89">
        <v>23</v>
      </c>
      <c r="B28" s="90" t="s">
        <v>98</v>
      </c>
      <c r="C28" s="89" t="s">
        <v>46</v>
      </c>
      <c r="D28" s="91">
        <v>3</v>
      </c>
      <c r="E28" s="92">
        <f>'Module Build Cost'!E28</f>
        <v>3</v>
      </c>
      <c r="F28" s="93">
        <v>0.25</v>
      </c>
      <c r="G28" s="94">
        <f t="shared" si="0"/>
        <v>2.25</v>
      </c>
      <c r="H28" s="95">
        <f>'Module Build Cost'!L28</f>
        <v>53040</v>
      </c>
      <c r="I28" s="96">
        <f t="shared" si="1"/>
        <v>39780</v>
      </c>
    </row>
    <row r="29" spans="1:9" x14ac:dyDescent="0.2">
      <c r="A29" s="40"/>
      <c r="B29" s="41" t="s">
        <v>199</v>
      </c>
      <c r="C29" s="40"/>
      <c r="D29" s="40"/>
      <c r="E29" s="42">
        <f>SUM(E6:E28)</f>
        <v>95.5</v>
      </c>
      <c r="F29" s="40"/>
      <c r="G29" s="42">
        <f>SUM(G6:G28)</f>
        <v>75.55</v>
      </c>
      <c r="H29" s="43">
        <f>SUM(H6:H28)</f>
        <v>1961960</v>
      </c>
      <c r="I29" s="43">
        <f>SUM(I6:I28)</f>
        <v>1564732</v>
      </c>
    </row>
    <row r="32" spans="1:9" x14ac:dyDescent="0.2">
      <c r="A32" s="65" t="s">
        <v>292</v>
      </c>
    </row>
    <row r="33" spans="1:5" ht="42" customHeight="1" x14ac:dyDescent="0.2">
      <c r="A33" s="21" t="s">
        <v>5</v>
      </c>
      <c r="B33" s="21" t="s">
        <v>293</v>
      </c>
      <c r="C33" s="21" t="s">
        <v>294</v>
      </c>
      <c r="D33" s="21" t="s">
        <v>295</v>
      </c>
      <c r="E33" s="21" t="s">
        <v>296</v>
      </c>
    </row>
    <row r="34" spans="1:5" x14ac:dyDescent="0.2">
      <c r="A34" s="104" t="s">
        <v>210</v>
      </c>
      <c r="B34" s="105">
        <f>SUMIFS($H$6:$H$28,$D$6:$D$28,1)</f>
        <v>1153880</v>
      </c>
      <c r="C34" s="105">
        <f>SUMIFS($I$6:$I$28,$D$6:$D$28,1)</f>
        <v>903552</v>
      </c>
      <c r="D34" s="105">
        <f>B34-C34</f>
        <v>250328</v>
      </c>
      <c r="E34" s="106">
        <f>IFERROR(D34/B34,0)</f>
        <v>0.21694456962595765</v>
      </c>
    </row>
    <row r="35" spans="1:5" x14ac:dyDescent="0.2">
      <c r="A35" s="104" t="s">
        <v>212</v>
      </c>
      <c r="B35" s="105">
        <f>SUMIFS($H$6:$H$28,$D$6:$D$28,2)</f>
        <v>317200</v>
      </c>
      <c r="C35" s="105">
        <f>SUMIFS($I$6:$I$28,$D$6:$D$28,2)</f>
        <v>252356</v>
      </c>
      <c r="D35" s="105">
        <f>B35-C35</f>
        <v>64844</v>
      </c>
      <c r="E35" s="106">
        <f>IFERROR(D35/B35,0)</f>
        <v>0.20442622950819672</v>
      </c>
    </row>
    <row r="36" spans="1:5" x14ac:dyDescent="0.2">
      <c r="A36" s="104" t="s">
        <v>214</v>
      </c>
      <c r="B36" s="105">
        <f>SUMIFS($H$6:$H$28,$D$6:$D$28,3)</f>
        <v>490880</v>
      </c>
      <c r="C36" s="105">
        <f>SUMIFS($I$6:$I$28,$D$6:$D$28,3)</f>
        <v>408824</v>
      </c>
      <c r="D36" s="105">
        <f>B36-C36</f>
        <v>82056</v>
      </c>
      <c r="E36" s="106">
        <f>IFERROR(D36/B36,0)</f>
        <v>0.16716101694915253</v>
      </c>
    </row>
    <row r="38" spans="1:5" x14ac:dyDescent="0.2">
      <c r="A38" s="65" t="s">
        <v>297</v>
      </c>
    </row>
    <row r="39" spans="1:5" ht="42" customHeight="1" x14ac:dyDescent="0.2">
      <c r="A39" s="141" t="s">
        <v>298</v>
      </c>
      <c r="B39" s="140"/>
      <c r="C39" s="140"/>
      <c r="D39" s="140"/>
      <c r="E39" s="140"/>
    </row>
    <row r="40" spans="1:5" ht="27.75" customHeight="1" x14ac:dyDescent="0.2">
      <c r="A40" s="21" t="s">
        <v>226</v>
      </c>
      <c r="B40" s="21" t="s">
        <v>294</v>
      </c>
    </row>
    <row r="41" spans="1:5" x14ac:dyDescent="0.2">
      <c r="A41" s="107" t="s">
        <v>299</v>
      </c>
      <c r="B41" s="43">
        <f>$I$6+$I$7+$I$8+$I$9+$I$10+$I$11+$I$14+$I$15+$I$16+$I$17</f>
        <v>856128</v>
      </c>
    </row>
    <row r="42" spans="1:5" x14ac:dyDescent="0.2">
      <c r="A42" s="66" t="s">
        <v>300</v>
      </c>
      <c r="B42" s="79">
        <f>$I$12+$I$13</f>
        <v>47424</v>
      </c>
    </row>
    <row r="43" spans="1:5" x14ac:dyDescent="0.2">
      <c r="A43" s="66" t="s">
        <v>301</v>
      </c>
      <c r="B43" s="76">
        <v>110000</v>
      </c>
    </row>
    <row r="44" spans="1:5" x14ac:dyDescent="0.2">
      <c r="A44" s="64" t="s">
        <v>302</v>
      </c>
      <c r="B44" s="43">
        <f>B42+B43</f>
        <v>157424</v>
      </c>
    </row>
    <row r="46" spans="1:5" x14ac:dyDescent="0.2">
      <c r="A46" s="65" t="s">
        <v>303</v>
      </c>
    </row>
    <row r="47" spans="1:5" ht="27.75" customHeight="1" x14ac:dyDescent="0.2">
      <c r="A47" s="21" t="s">
        <v>226</v>
      </c>
      <c r="B47" s="21" t="s">
        <v>304</v>
      </c>
    </row>
    <row r="48" spans="1:5" x14ac:dyDescent="0.2">
      <c r="A48" s="66" t="s">
        <v>305</v>
      </c>
      <c r="B48" s="79">
        <f>'Run &amp; Maintain'!$G$12*0.85</f>
        <v>1209720</v>
      </c>
    </row>
    <row r="49" spans="1:2" x14ac:dyDescent="0.2">
      <c r="A49" s="66" t="s">
        <v>306</v>
      </c>
      <c r="B49" s="79">
        <f>'Run &amp; Maintain'!$B$16*0.9</f>
        <v>540000</v>
      </c>
    </row>
    <row r="50" spans="1:2" x14ac:dyDescent="0.2">
      <c r="A50" s="66" t="s">
        <v>307</v>
      </c>
      <c r="B50" s="79">
        <f>'Run &amp; Maintain'!$B$17*0.5</f>
        <v>90000</v>
      </c>
    </row>
    <row r="51" spans="1:2" x14ac:dyDescent="0.2">
      <c r="A51" s="66" t="s">
        <v>308</v>
      </c>
      <c r="B51" s="79">
        <f>'Run &amp; Maintain'!$B$18</f>
        <v>70000</v>
      </c>
    </row>
    <row r="52" spans="1:2" x14ac:dyDescent="0.2">
      <c r="A52" s="66" t="s">
        <v>309</v>
      </c>
      <c r="B52" s="76">
        <v>150000</v>
      </c>
    </row>
    <row r="53" spans="1:2" x14ac:dyDescent="0.2">
      <c r="A53" s="80" t="s">
        <v>310</v>
      </c>
      <c r="B53" s="108">
        <f>SUM(B48:B52)</f>
        <v>2059720</v>
      </c>
    </row>
    <row r="55" spans="1:2" x14ac:dyDescent="0.2">
      <c r="A55" s="4" t="s">
        <v>236</v>
      </c>
      <c r="B55" s="109">
        <f>'Run &amp; Maintain'!$B$23</f>
        <v>0.4</v>
      </c>
    </row>
    <row r="56" spans="1:2" x14ac:dyDescent="0.2">
      <c r="A56" s="41" t="s">
        <v>311</v>
      </c>
      <c r="B56" s="58">
        <f>B53*B55</f>
        <v>823888</v>
      </c>
    </row>
  </sheetData>
  <mergeCells count="1">
    <mergeCell ref="A39:E39"/>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F62FE"/>
  </sheetPr>
  <dimension ref="A1:D21"/>
  <sheetViews>
    <sheetView showGridLines="0" zoomScaleNormal="100" workbookViewId="0"/>
  </sheetViews>
  <sheetFormatPr baseColWidth="10" defaultColWidth="8.6640625" defaultRowHeight="15" x14ac:dyDescent="0.2"/>
  <cols>
    <col min="1" max="1" width="40" customWidth="1"/>
    <col min="2" max="5" width="18" customWidth="1"/>
  </cols>
  <sheetData>
    <row r="1" spans="1:4" ht="18.75" customHeight="1" x14ac:dyDescent="0.2">
      <c r="A1" s="1" t="s">
        <v>312</v>
      </c>
    </row>
    <row r="2" spans="1:4" ht="27.75" customHeight="1" x14ac:dyDescent="0.2">
      <c r="A2" s="72" t="s">
        <v>313</v>
      </c>
    </row>
    <row r="4" spans="1:4" ht="27.75" customHeight="1" x14ac:dyDescent="0.2">
      <c r="A4" s="10" t="s">
        <v>314</v>
      </c>
      <c r="B4" s="10" t="s">
        <v>315</v>
      </c>
      <c r="C4" s="10" t="s">
        <v>316</v>
      </c>
      <c r="D4" s="10" t="s">
        <v>317</v>
      </c>
    </row>
    <row r="5" spans="1:4" x14ac:dyDescent="0.2">
      <c r="A5" s="110" t="s">
        <v>318</v>
      </c>
      <c r="B5" s="111">
        <f>'Phase Summary'!F9</f>
        <v>2111960</v>
      </c>
      <c r="C5" s="111">
        <f>'Approach B - Partner Model'!I29+'Approach B - Partner Model'!B43</f>
        <v>1674732</v>
      </c>
      <c r="D5" s="112">
        <f>B5-C5</f>
        <v>437228</v>
      </c>
    </row>
    <row r="6" spans="1:4" x14ac:dyDescent="0.2">
      <c r="A6" s="110" t="s">
        <v>319</v>
      </c>
      <c r="B6" s="111">
        <f>'Phase Summary'!F6+'Phase Summary'!F5</f>
        <v>1303880</v>
      </c>
      <c r="C6" s="111">
        <f>'Approach B - Partner Model'!C34+'Approach B - Partner Model'!B43</f>
        <v>1013552</v>
      </c>
      <c r="D6" s="112">
        <f>B6-C6</f>
        <v>290328</v>
      </c>
    </row>
    <row r="7" spans="1:4" x14ac:dyDescent="0.2">
      <c r="A7" s="110" t="s">
        <v>320</v>
      </c>
      <c r="B7" s="113" t="s">
        <v>321</v>
      </c>
      <c r="C7" s="111">
        <f>'Approach B - Partner Model'!B41</f>
        <v>856128</v>
      </c>
      <c r="D7" s="113" t="s">
        <v>145</v>
      </c>
    </row>
    <row r="8" spans="1:4" x14ac:dyDescent="0.2">
      <c r="A8" s="110" t="s">
        <v>322</v>
      </c>
      <c r="B8" s="111">
        <f>'Phase Summary'!F6</f>
        <v>1153880</v>
      </c>
      <c r="C8" s="111">
        <f>'Approach B - Partner Model'!B44</f>
        <v>157424</v>
      </c>
      <c r="D8" s="112">
        <f>B8-C8</f>
        <v>996456</v>
      </c>
    </row>
    <row r="9" spans="1:4" x14ac:dyDescent="0.2">
      <c r="A9" s="110" t="s">
        <v>323</v>
      </c>
      <c r="B9" s="114">
        <f>'Phase Summary'!C9</f>
        <v>14</v>
      </c>
      <c r="C9" s="114">
        <v>10.5</v>
      </c>
      <c r="D9" s="115">
        <f>B9-C9</f>
        <v>3.5</v>
      </c>
    </row>
    <row r="10" spans="1:4" x14ac:dyDescent="0.2">
      <c r="A10" s="110" t="s">
        <v>324</v>
      </c>
      <c r="B10" s="114">
        <f>Timeline!E6</f>
        <v>5</v>
      </c>
      <c r="C10" s="114">
        <v>3.75</v>
      </c>
      <c r="D10" s="115">
        <f>B10-C10</f>
        <v>1.25</v>
      </c>
    </row>
    <row r="11" spans="1:4" x14ac:dyDescent="0.2">
      <c r="A11" s="110" t="s">
        <v>325</v>
      </c>
      <c r="B11" s="111">
        <f>'Run &amp; Maintain'!B21</f>
        <v>2273200</v>
      </c>
      <c r="C11" s="111">
        <f>'Approach B - Partner Model'!B53</f>
        <v>2059720</v>
      </c>
      <c r="D11" s="112">
        <f>B11-C11</f>
        <v>213480</v>
      </c>
    </row>
    <row r="13" spans="1:4" x14ac:dyDescent="0.2">
      <c r="A13" s="65" t="s">
        <v>326</v>
      </c>
    </row>
    <row r="14" spans="1:4" x14ac:dyDescent="0.2">
      <c r="A14" s="21" t="s">
        <v>314</v>
      </c>
      <c r="B14" s="21" t="s">
        <v>327</v>
      </c>
      <c r="C14" s="21" t="s">
        <v>328</v>
      </c>
    </row>
    <row r="15" spans="1:4" x14ac:dyDescent="0.2">
      <c r="A15" s="66" t="s">
        <v>329</v>
      </c>
      <c r="B15" s="116">
        <f>'ROI Illustration'!B13</f>
        <v>472500</v>
      </c>
      <c r="C15" s="116">
        <f>'ROI Illustration'!B13</f>
        <v>472500</v>
      </c>
    </row>
    <row r="16" spans="1:4" x14ac:dyDescent="0.2">
      <c r="A16" s="66" t="s">
        <v>330</v>
      </c>
      <c r="B16" s="116">
        <f>'ROI Illustration'!B17</f>
        <v>2063160</v>
      </c>
      <c r="C16" s="105">
        <f>'Approach B - Partner Model'!B41+'Approach B - Partner Model'!B44+'Approach B - Partner Model'!B56</f>
        <v>1837440</v>
      </c>
    </row>
    <row r="17" spans="1:4" x14ac:dyDescent="0.2">
      <c r="A17" s="117" t="s">
        <v>331</v>
      </c>
      <c r="B17" s="118" t="s">
        <v>145</v>
      </c>
      <c r="C17" s="105">
        <f>'Approach B - Partner Model'!B44+'Approach B - Partner Model'!B56</f>
        <v>981312</v>
      </c>
    </row>
    <row r="18" spans="1:4" x14ac:dyDescent="0.2">
      <c r="A18" s="119" t="s">
        <v>332</v>
      </c>
      <c r="B18" s="120">
        <f>'ROI Illustration'!B18</f>
        <v>4.3664761904761908</v>
      </c>
      <c r="C18" s="121">
        <f>C16/C15</f>
        <v>3.8887619047619046</v>
      </c>
    </row>
    <row r="19" spans="1:4" x14ac:dyDescent="0.2">
      <c r="A19" s="119" t="s">
        <v>333</v>
      </c>
      <c r="B19" s="122" t="s">
        <v>334</v>
      </c>
      <c r="C19" s="121">
        <f>C17/C15</f>
        <v>2.0768507936507938</v>
      </c>
    </row>
    <row r="21" spans="1:4" ht="43.5" customHeight="1" x14ac:dyDescent="0.2">
      <c r="A21" s="141" t="s">
        <v>335</v>
      </c>
      <c r="B21" s="140"/>
      <c r="C21" s="140"/>
      <c r="D21" s="140"/>
    </row>
  </sheetData>
  <mergeCells count="1">
    <mergeCell ref="A21:D2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9"/>
  <sheetViews>
    <sheetView showGridLines="0" tabSelected="1" topLeftCell="F1" zoomScale="177" zoomScaleNormal="177" workbookViewId="0">
      <pane ySplit="5" topLeftCell="A10" activePane="bottomLeft" state="frozen"/>
      <selection pane="bottomLeft" activeCell="F12" sqref="F12"/>
    </sheetView>
  </sheetViews>
  <sheetFormatPr baseColWidth="10" defaultColWidth="8.6640625" defaultRowHeight="15" x14ac:dyDescent="0.2"/>
  <cols>
    <col min="1" max="1" width="4" customWidth="1"/>
    <col min="2" max="2" width="40" customWidth="1"/>
    <col min="3" max="3" width="14" customWidth="1"/>
    <col min="4" max="4" width="8" customWidth="1"/>
    <col min="5" max="5" width="30" customWidth="1"/>
    <col min="6" max="7" width="40" customWidth="1"/>
    <col min="8" max="8" width="22" customWidth="1"/>
    <col min="9" max="9" width="20" customWidth="1"/>
  </cols>
  <sheetData>
    <row r="1" spans="1:9" ht="19" customHeight="1" x14ac:dyDescent="0.2">
      <c r="A1" s="123" t="s">
        <v>0</v>
      </c>
    </row>
    <row r="2" spans="1:9" ht="42" customHeight="1" x14ac:dyDescent="0.2">
      <c r="A2" s="139" t="s">
        <v>1</v>
      </c>
      <c r="B2" s="140"/>
      <c r="C2" s="140"/>
      <c r="D2" s="140"/>
      <c r="E2" s="140"/>
      <c r="F2" s="140"/>
      <c r="G2" s="140"/>
    </row>
    <row r="5" spans="1:9" ht="28" x14ac:dyDescent="0.2">
      <c r="A5" s="124" t="s">
        <v>2</v>
      </c>
      <c r="B5" s="124" t="s">
        <v>3</v>
      </c>
      <c r="C5" s="124" t="s">
        <v>4</v>
      </c>
      <c r="D5" s="124" t="s">
        <v>5</v>
      </c>
      <c r="E5" s="124" t="s">
        <v>6</v>
      </c>
      <c r="F5" s="124" t="s">
        <v>7</v>
      </c>
      <c r="G5" s="124" t="s">
        <v>8</v>
      </c>
      <c r="H5" s="133" t="s">
        <v>9</v>
      </c>
      <c r="I5" s="133" t="s">
        <v>10</v>
      </c>
    </row>
    <row r="6" spans="1:9" ht="39" customHeight="1" x14ac:dyDescent="0.2">
      <c r="A6" s="125">
        <v>1</v>
      </c>
      <c r="B6" s="126" t="s">
        <v>11</v>
      </c>
      <c r="C6" s="125" t="s">
        <v>12</v>
      </c>
      <c r="D6" s="125">
        <v>1</v>
      </c>
      <c r="E6" s="126" t="s">
        <v>13</v>
      </c>
      <c r="F6" s="126" t="s">
        <v>14</v>
      </c>
      <c r="G6" s="126" t="s">
        <v>15</v>
      </c>
      <c r="H6" s="134">
        <f>'Module Build Cost'!H6+'Module Build Cost'!I6</f>
        <v>1280</v>
      </c>
      <c r="I6" s="134">
        <f>ROUND(H6*IF(C6="Core Platform",Assumptions!$B$18,IF(C6="Persona Module",Assumptions!$B$19,Assumptions!$B$20)),0)</f>
        <v>640</v>
      </c>
    </row>
    <row r="7" spans="1:9" ht="39" customHeight="1" x14ac:dyDescent="0.2">
      <c r="A7" s="127">
        <v>2</v>
      </c>
      <c r="B7" s="128" t="s">
        <v>16</v>
      </c>
      <c r="C7" s="127" t="s">
        <v>12</v>
      </c>
      <c r="D7" s="127">
        <v>1</v>
      </c>
      <c r="E7" s="128" t="s">
        <v>17</v>
      </c>
      <c r="F7" s="128" t="s">
        <v>18</v>
      </c>
      <c r="G7" s="128" t="s">
        <v>19</v>
      </c>
      <c r="H7" s="135">
        <f>'Module Build Cost'!H7+'Module Build Cost'!I7</f>
        <v>960</v>
      </c>
      <c r="I7" s="135">
        <f>ROUND(H7*IF(C7="Core Platform",Assumptions!$B$18,IF(C7="Persona Module",Assumptions!$B$19,Assumptions!$B$20)),0)</f>
        <v>480</v>
      </c>
    </row>
    <row r="8" spans="1:9" ht="39" customHeight="1" x14ac:dyDescent="0.2">
      <c r="A8" s="125">
        <v>3</v>
      </c>
      <c r="B8" s="126" t="s">
        <v>20</v>
      </c>
      <c r="C8" s="125" t="s">
        <v>12</v>
      </c>
      <c r="D8" s="125">
        <v>1</v>
      </c>
      <c r="E8" s="126" t="s">
        <v>21</v>
      </c>
      <c r="F8" s="126" t="s">
        <v>22</v>
      </c>
      <c r="G8" s="126" t="s">
        <v>23</v>
      </c>
      <c r="H8" s="134">
        <f>'Module Build Cost'!H8+'Module Build Cost'!I8</f>
        <v>640</v>
      </c>
      <c r="I8" s="134">
        <f>ROUND(H8*IF(C8="Core Platform",Assumptions!$B$18,IF(C8="Persona Module",Assumptions!$B$19,Assumptions!$B$20)),0)</f>
        <v>320</v>
      </c>
    </row>
    <row r="9" spans="1:9" ht="39" customHeight="1" x14ac:dyDescent="0.2">
      <c r="A9" s="127">
        <v>4</v>
      </c>
      <c r="B9" s="128" t="s">
        <v>24</v>
      </c>
      <c r="C9" s="127" t="s">
        <v>12</v>
      </c>
      <c r="D9" s="127">
        <v>1</v>
      </c>
      <c r="E9" s="128" t="s">
        <v>25</v>
      </c>
      <c r="F9" s="128" t="s">
        <v>26</v>
      </c>
      <c r="G9" s="128" t="s">
        <v>27</v>
      </c>
      <c r="H9" s="135">
        <f>'Module Build Cost'!H9+'Module Build Cost'!I9</f>
        <v>1600</v>
      </c>
      <c r="I9" s="135">
        <f>ROUND(H9*IF(C9="Core Platform",Assumptions!$B$18,IF(C9="Persona Module",Assumptions!$B$19,Assumptions!$B$20)),0)</f>
        <v>800</v>
      </c>
    </row>
    <row r="10" spans="1:9" ht="26" customHeight="1" x14ac:dyDescent="0.2">
      <c r="A10" s="125">
        <v>5</v>
      </c>
      <c r="B10" s="126" t="s">
        <v>28</v>
      </c>
      <c r="C10" s="125" t="s">
        <v>12</v>
      </c>
      <c r="D10" s="125">
        <v>1</v>
      </c>
      <c r="E10" s="126" t="s">
        <v>29</v>
      </c>
      <c r="F10" s="126" t="s">
        <v>30</v>
      </c>
      <c r="G10" s="126" t="s">
        <v>31</v>
      </c>
      <c r="H10" s="134">
        <f>'Module Build Cost'!H10+'Module Build Cost'!I10</f>
        <v>800</v>
      </c>
      <c r="I10" s="134">
        <f>ROUND(H10*IF(C10="Core Platform",Assumptions!$B$18,IF(C10="Persona Module",Assumptions!$B$19,Assumptions!$B$20)),0)</f>
        <v>400</v>
      </c>
    </row>
    <row r="11" spans="1:9" ht="26" customHeight="1" x14ac:dyDescent="0.2">
      <c r="A11" s="127">
        <v>6</v>
      </c>
      <c r="B11" s="128" t="s">
        <v>32</v>
      </c>
      <c r="C11" s="127" t="s">
        <v>33</v>
      </c>
      <c r="D11" s="127">
        <v>1</v>
      </c>
      <c r="E11" s="128" t="s">
        <v>34</v>
      </c>
      <c r="F11" s="128" t="s">
        <v>35</v>
      </c>
      <c r="G11" s="128" t="s">
        <v>36</v>
      </c>
      <c r="H11" s="135">
        <f>'Module Build Cost'!H11+'Module Build Cost'!I11</f>
        <v>800</v>
      </c>
      <c r="I11" s="135">
        <f>ROUND(H11*IF(C11="Core Platform",Assumptions!$B$18,IF(C11="Persona Module",Assumptions!$B$19,Assumptions!$B$20)),0)</f>
        <v>240</v>
      </c>
    </row>
    <row r="12" spans="1:9" ht="26" customHeight="1" x14ac:dyDescent="0.2">
      <c r="A12" s="125">
        <v>7</v>
      </c>
      <c r="B12" s="126" t="s">
        <v>37</v>
      </c>
      <c r="C12" s="125" t="s">
        <v>33</v>
      </c>
      <c r="D12" s="125">
        <v>1</v>
      </c>
      <c r="E12" s="126" t="s">
        <v>38</v>
      </c>
      <c r="F12" s="126" t="s">
        <v>39</v>
      </c>
      <c r="G12" s="126" t="s">
        <v>40</v>
      </c>
      <c r="H12" s="134">
        <f>'Module Build Cost'!H12+'Module Build Cost'!I12</f>
        <v>240</v>
      </c>
      <c r="I12" s="134">
        <f>ROUND(H12*IF(C12="Core Platform",Assumptions!$B$18,IF(C12="Persona Module",Assumptions!$B$19,Assumptions!$B$20)),0)</f>
        <v>72</v>
      </c>
    </row>
    <row r="13" spans="1:9" ht="39" customHeight="1" x14ac:dyDescent="0.2">
      <c r="A13" s="127">
        <v>8</v>
      </c>
      <c r="B13" s="128" t="s">
        <v>41</v>
      </c>
      <c r="C13" s="127" t="s">
        <v>33</v>
      </c>
      <c r="D13" s="127">
        <v>1</v>
      </c>
      <c r="E13" s="128" t="s">
        <v>42</v>
      </c>
      <c r="F13" s="128" t="s">
        <v>43</v>
      </c>
      <c r="G13" s="128" t="s">
        <v>44</v>
      </c>
      <c r="H13" s="135">
        <f>'Module Build Cost'!H13+'Module Build Cost'!I13</f>
        <v>480</v>
      </c>
      <c r="I13" s="135">
        <f>ROUND(H13*IF(C13="Core Platform",Assumptions!$B$18,IF(C13="Persona Module",Assumptions!$B$19,Assumptions!$B$20)),0)</f>
        <v>144</v>
      </c>
    </row>
    <row r="14" spans="1:9" ht="26" customHeight="1" x14ac:dyDescent="0.2">
      <c r="A14" s="125">
        <v>9</v>
      </c>
      <c r="B14" s="126" t="s">
        <v>45</v>
      </c>
      <c r="C14" s="125" t="s">
        <v>46</v>
      </c>
      <c r="D14" s="125">
        <v>1</v>
      </c>
      <c r="E14" s="126" t="s">
        <v>47</v>
      </c>
      <c r="F14" s="126" t="s">
        <v>48</v>
      </c>
      <c r="G14" s="126" t="s">
        <v>49</v>
      </c>
      <c r="H14" s="134">
        <f>'Module Build Cost'!H14+'Module Build Cost'!I14</f>
        <v>480</v>
      </c>
      <c r="I14" s="134">
        <f>ROUND(H14*IF(C14="Core Platform",Assumptions!$B$18,IF(C14="Persona Module",Assumptions!$B$19,Assumptions!$B$20)),0)</f>
        <v>168</v>
      </c>
    </row>
    <row r="15" spans="1:9" ht="26" customHeight="1" x14ac:dyDescent="0.2">
      <c r="A15" s="127">
        <v>10</v>
      </c>
      <c r="B15" s="128" t="s">
        <v>50</v>
      </c>
      <c r="C15" s="127" t="s">
        <v>46</v>
      </c>
      <c r="D15" s="127">
        <v>1</v>
      </c>
      <c r="E15" s="128" t="s">
        <v>47</v>
      </c>
      <c r="F15" s="128" t="s">
        <v>51</v>
      </c>
      <c r="G15" s="128" t="s">
        <v>52</v>
      </c>
      <c r="H15" s="135">
        <f>'Module Build Cost'!H15+'Module Build Cost'!I15</f>
        <v>480</v>
      </c>
      <c r="I15" s="135">
        <f>ROUND(H15*IF(C15="Core Platform",Assumptions!$B$18,IF(C15="Persona Module",Assumptions!$B$19,Assumptions!$B$20)),0)</f>
        <v>168</v>
      </c>
    </row>
    <row r="16" spans="1:9" ht="26" customHeight="1" x14ac:dyDescent="0.2">
      <c r="A16" s="125">
        <v>11</v>
      </c>
      <c r="B16" s="126" t="s">
        <v>53</v>
      </c>
      <c r="C16" s="125" t="s">
        <v>46</v>
      </c>
      <c r="D16" s="125">
        <v>1</v>
      </c>
      <c r="E16" s="126" t="s">
        <v>54</v>
      </c>
      <c r="F16" s="126" t="s">
        <v>55</v>
      </c>
      <c r="G16" s="126" t="s">
        <v>56</v>
      </c>
      <c r="H16" s="134">
        <f>'Module Build Cost'!H16+'Module Build Cost'!I16</f>
        <v>320</v>
      </c>
      <c r="I16" s="134">
        <f>ROUND(H16*IF(C16="Core Platform",Assumptions!$B$18,IF(C16="Persona Module",Assumptions!$B$19,Assumptions!$B$20)),0)</f>
        <v>112</v>
      </c>
    </row>
    <row r="17" spans="1:9" ht="26" customHeight="1" x14ac:dyDescent="0.2">
      <c r="A17" s="127">
        <v>12</v>
      </c>
      <c r="B17" s="128" t="s">
        <v>57</v>
      </c>
      <c r="C17" s="127" t="s">
        <v>46</v>
      </c>
      <c r="D17" s="127">
        <v>1</v>
      </c>
      <c r="E17" s="128" t="s">
        <v>58</v>
      </c>
      <c r="F17" s="128" t="s">
        <v>59</v>
      </c>
      <c r="G17" s="128" t="s">
        <v>60</v>
      </c>
      <c r="H17" s="135">
        <f>'Module Build Cost'!H17+'Module Build Cost'!I17</f>
        <v>320</v>
      </c>
      <c r="I17" s="135">
        <f>ROUND(H17*IF(C17="Core Platform",Assumptions!$B$18,IF(C17="Persona Module",Assumptions!$B$19,Assumptions!$B$20)),0)</f>
        <v>112</v>
      </c>
    </row>
    <row r="18" spans="1:9" ht="26" customHeight="1" x14ac:dyDescent="0.2">
      <c r="A18" s="125">
        <v>13</v>
      </c>
      <c r="B18" s="126" t="s">
        <v>61</v>
      </c>
      <c r="C18" s="125" t="s">
        <v>33</v>
      </c>
      <c r="D18" s="125">
        <v>2</v>
      </c>
      <c r="E18" s="126" t="s">
        <v>62</v>
      </c>
      <c r="F18" s="126" t="s">
        <v>63</v>
      </c>
      <c r="G18" s="126" t="s">
        <v>64</v>
      </c>
      <c r="H18" s="134">
        <f>'Module Build Cost'!H18+'Module Build Cost'!I18</f>
        <v>640</v>
      </c>
      <c r="I18" s="134">
        <f>ROUND(H18*IF(C18="Core Platform",Assumptions!$B$18,IF(C18="Persona Module",Assumptions!$B$19,Assumptions!$B$20)),0)</f>
        <v>192</v>
      </c>
    </row>
    <row r="19" spans="1:9" ht="26" customHeight="1" x14ac:dyDescent="0.2">
      <c r="A19" s="127">
        <v>14</v>
      </c>
      <c r="B19" s="128" t="s">
        <v>65</v>
      </c>
      <c r="C19" s="127" t="s">
        <v>33</v>
      </c>
      <c r="D19" s="127">
        <v>2</v>
      </c>
      <c r="E19" s="128" t="s">
        <v>66</v>
      </c>
      <c r="F19" s="128" t="s">
        <v>67</v>
      </c>
      <c r="G19" s="128" t="s">
        <v>68</v>
      </c>
      <c r="H19" s="135">
        <f>'Module Build Cost'!H19+'Module Build Cost'!I19</f>
        <v>640</v>
      </c>
      <c r="I19" s="135">
        <f>ROUND(H19*IF(C19="Core Platform",Assumptions!$B$18,IF(C19="Persona Module",Assumptions!$B$19,Assumptions!$B$20)),0)</f>
        <v>192</v>
      </c>
    </row>
    <row r="20" spans="1:9" ht="26" customHeight="1" x14ac:dyDescent="0.2">
      <c r="A20" s="125">
        <v>15</v>
      </c>
      <c r="B20" s="126" t="s">
        <v>69</v>
      </c>
      <c r="C20" s="125" t="s">
        <v>46</v>
      </c>
      <c r="D20" s="125">
        <v>2</v>
      </c>
      <c r="E20" s="126" t="s">
        <v>47</v>
      </c>
      <c r="F20" s="126" t="s">
        <v>70</v>
      </c>
      <c r="G20" s="126" t="s">
        <v>71</v>
      </c>
      <c r="H20" s="134">
        <f>'Module Build Cost'!H20+'Module Build Cost'!I20</f>
        <v>480</v>
      </c>
      <c r="I20" s="134">
        <f>ROUND(H20*IF(C20="Core Platform",Assumptions!$B$18,IF(C20="Persona Module",Assumptions!$B$19,Assumptions!$B$20)),0)</f>
        <v>168</v>
      </c>
    </row>
    <row r="21" spans="1:9" ht="26" customHeight="1" x14ac:dyDescent="0.2">
      <c r="A21" s="127">
        <v>16</v>
      </c>
      <c r="B21" s="128" t="s">
        <v>72</v>
      </c>
      <c r="C21" s="127" t="s">
        <v>46</v>
      </c>
      <c r="D21" s="127">
        <v>2</v>
      </c>
      <c r="E21" s="128" t="s">
        <v>73</v>
      </c>
      <c r="F21" s="128" t="s">
        <v>74</v>
      </c>
      <c r="G21" s="128" t="s">
        <v>75</v>
      </c>
      <c r="H21" s="135">
        <f>'Module Build Cost'!H21+'Module Build Cost'!I21</f>
        <v>480</v>
      </c>
      <c r="I21" s="135">
        <f>ROUND(H21*IF(C21="Core Platform",Assumptions!$B$18,IF(C21="Persona Module",Assumptions!$B$19,Assumptions!$B$20)),0)</f>
        <v>168</v>
      </c>
    </row>
    <row r="22" spans="1:9" ht="26" customHeight="1" x14ac:dyDescent="0.2">
      <c r="A22" s="125">
        <v>17</v>
      </c>
      <c r="B22" s="126" t="s">
        <v>76</v>
      </c>
      <c r="C22" s="125" t="s">
        <v>46</v>
      </c>
      <c r="D22" s="125">
        <v>2</v>
      </c>
      <c r="E22" s="126" t="s">
        <v>47</v>
      </c>
      <c r="F22" s="126" t="s">
        <v>77</v>
      </c>
      <c r="G22" s="126" t="s">
        <v>78</v>
      </c>
      <c r="H22" s="134">
        <f>'Module Build Cost'!H22+'Module Build Cost'!I22</f>
        <v>480</v>
      </c>
      <c r="I22" s="134">
        <f>ROUND(H22*IF(C22="Core Platform",Assumptions!$B$18,IF(C22="Persona Module",Assumptions!$B$19,Assumptions!$B$20)),0)</f>
        <v>168</v>
      </c>
    </row>
    <row r="23" spans="1:9" ht="26" customHeight="1" x14ac:dyDescent="0.2">
      <c r="A23" s="127">
        <v>18</v>
      </c>
      <c r="B23" s="128" t="s">
        <v>79</v>
      </c>
      <c r="C23" s="127" t="s">
        <v>33</v>
      </c>
      <c r="D23" s="127">
        <v>3</v>
      </c>
      <c r="E23" s="128" t="s">
        <v>80</v>
      </c>
      <c r="F23" s="128" t="s">
        <v>81</v>
      </c>
      <c r="G23" s="128" t="s">
        <v>82</v>
      </c>
      <c r="H23" s="135">
        <f>'Module Build Cost'!H23+'Module Build Cost'!I23</f>
        <v>800</v>
      </c>
      <c r="I23" s="135">
        <f>ROUND(H23*IF(C23="Core Platform",Assumptions!$B$18,IF(C23="Persona Module",Assumptions!$B$19,Assumptions!$B$20)),0)</f>
        <v>240</v>
      </c>
    </row>
    <row r="24" spans="1:9" ht="26" customHeight="1" x14ac:dyDescent="0.2">
      <c r="A24" s="125">
        <v>19</v>
      </c>
      <c r="B24" s="126" t="s">
        <v>83</v>
      </c>
      <c r="C24" s="125" t="s">
        <v>33</v>
      </c>
      <c r="D24" s="125">
        <v>3</v>
      </c>
      <c r="E24" s="126" t="s">
        <v>84</v>
      </c>
      <c r="F24" s="126" t="s">
        <v>85</v>
      </c>
      <c r="G24" s="126" t="s">
        <v>86</v>
      </c>
      <c r="H24" s="134">
        <f>'Module Build Cost'!H24+'Module Build Cost'!I24</f>
        <v>640</v>
      </c>
      <c r="I24" s="134">
        <f>ROUND(H24*IF(C24="Core Platform",Assumptions!$B$18,IF(C24="Persona Module",Assumptions!$B$19,Assumptions!$B$20)),0)</f>
        <v>192</v>
      </c>
    </row>
    <row r="25" spans="1:9" ht="26" customHeight="1" x14ac:dyDescent="0.2">
      <c r="A25" s="127">
        <v>20</v>
      </c>
      <c r="B25" s="128" t="s">
        <v>87</v>
      </c>
      <c r="C25" s="127" t="s">
        <v>33</v>
      </c>
      <c r="D25" s="127">
        <v>3</v>
      </c>
      <c r="E25" s="128" t="s">
        <v>88</v>
      </c>
      <c r="F25" s="128" t="s">
        <v>89</v>
      </c>
      <c r="G25" s="128" t="s">
        <v>90</v>
      </c>
      <c r="H25" s="135">
        <f>'Module Build Cost'!H25+'Module Build Cost'!I25</f>
        <v>960</v>
      </c>
      <c r="I25" s="135">
        <f>ROUND(H25*IF(C25="Core Platform",Assumptions!$B$18,IF(C25="Persona Module",Assumptions!$B$19,Assumptions!$B$20)),0)</f>
        <v>288</v>
      </c>
    </row>
    <row r="26" spans="1:9" ht="26" customHeight="1" x14ac:dyDescent="0.2">
      <c r="A26" s="125">
        <v>21</v>
      </c>
      <c r="B26" s="126" t="s">
        <v>91</v>
      </c>
      <c r="C26" s="125" t="s">
        <v>46</v>
      </c>
      <c r="D26" s="125">
        <v>3</v>
      </c>
      <c r="E26" s="126" t="s">
        <v>92</v>
      </c>
      <c r="F26" s="126" t="s">
        <v>93</v>
      </c>
      <c r="G26" s="126" t="s">
        <v>94</v>
      </c>
      <c r="H26" s="134">
        <f>'Module Build Cost'!H26+'Module Build Cost'!I26</f>
        <v>640</v>
      </c>
      <c r="I26" s="134">
        <f>ROUND(H26*IF(C26="Core Platform",Assumptions!$B$18,IF(C26="Persona Module",Assumptions!$B$19,Assumptions!$B$20)),0)</f>
        <v>224</v>
      </c>
    </row>
    <row r="27" spans="1:9" ht="26" customHeight="1" x14ac:dyDescent="0.2">
      <c r="A27" s="127">
        <v>22</v>
      </c>
      <c r="B27" s="128" t="s">
        <v>95</v>
      </c>
      <c r="C27" s="127" t="s">
        <v>46</v>
      </c>
      <c r="D27" s="127">
        <v>3</v>
      </c>
      <c r="E27" s="128" t="s">
        <v>92</v>
      </c>
      <c r="F27" s="128" t="s">
        <v>96</v>
      </c>
      <c r="G27" s="128" t="s">
        <v>97</v>
      </c>
      <c r="H27" s="135">
        <f>'Module Build Cost'!H27+'Module Build Cost'!I27</f>
        <v>640</v>
      </c>
      <c r="I27" s="135">
        <f>ROUND(H27*IF(C27="Core Platform",Assumptions!$B$18,IF(C27="Persona Module",Assumptions!$B$19,Assumptions!$B$20)),0)</f>
        <v>224</v>
      </c>
    </row>
    <row r="28" spans="1:9" ht="26" customHeight="1" x14ac:dyDescent="0.2">
      <c r="A28" s="125">
        <v>23</v>
      </c>
      <c r="B28" s="126" t="s">
        <v>98</v>
      </c>
      <c r="C28" s="125" t="s">
        <v>46</v>
      </c>
      <c r="D28" s="125">
        <v>3</v>
      </c>
      <c r="E28" s="126" t="s">
        <v>47</v>
      </c>
      <c r="F28" s="126" t="s">
        <v>99</v>
      </c>
      <c r="G28" s="126" t="s">
        <v>100</v>
      </c>
      <c r="H28" s="134">
        <f>'Module Build Cost'!H28+'Module Build Cost'!I28</f>
        <v>480</v>
      </c>
      <c r="I28" s="134">
        <f>ROUND(H28*IF(C28="Core Platform",Assumptions!$B$18,IF(C28="Persona Module",Assumptions!$B$19,Assumptions!$B$20)),0)</f>
        <v>168</v>
      </c>
    </row>
    <row r="29" spans="1:9" x14ac:dyDescent="0.2">
      <c r="A29" s="136"/>
      <c r="B29" s="137" t="s">
        <v>101</v>
      </c>
      <c r="C29" s="136"/>
      <c r="D29" s="136"/>
      <c r="E29" s="136"/>
      <c r="F29" s="136"/>
      <c r="G29" s="136"/>
      <c r="H29" s="138">
        <f>SUM(H6:H28)</f>
        <v>15280</v>
      </c>
      <c r="I29" s="138">
        <f>SUM(I6:I28)</f>
        <v>5880</v>
      </c>
    </row>
  </sheetData>
  <mergeCells count="1">
    <mergeCell ref="A2:G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Rate Card</vt:lpstr>
      <vt:lpstr>Assumptions</vt:lpstr>
      <vt:lpstr>Module Build Cost</vt:lpstr>
      <vt:lpstr>Phase Summary</vt:lpstr>
      <vt:lpstr>Run &amp; Maintain</vt:lpstr>
      <vt:lpstr>ROI Illustration</vt:lpstr>
      <vt:lpstr>Timeline</vt:lpstr>
      <vt:lpstr>Approach B - Partner Model</vt:lpstr>
      <vt:lpstr>A vs B Comparison</vt:lpstr>
      <vt:lpstr>Module Specification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Williams</cp:lastModifiedBy>
  <cp:revision>0</cp:revision>
  <dcterms:created xsi:type="dcterms:W3CDTF">2026-07-12T12:35:23Z</dcterms:created>
  <dcterms:modified xsi:type="dcterms:W3CDTF">2026-07-27T19:37:56Z</dcterms:modified>
  <dc:language>en-US</dc:language>
</cp:coreProperties>
</file>