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ask Cost Detail" sheetId="2" state="visible" r:id="rId4"/>
    <sheet name="Cost Summary" sheetId="3" state="visible" r:id="rId5"/>
    <sheet name="Ongoing Run-Rate" sheetId="4" state="visible" r:id="rId6"/>
  </sheets>
  <definedNames>
    <definedName function="false" hidden="true" localSheetId="1" name="_xlnm._FilterDatabase" vbProcedure="false">'Task Cost Detail'!$A$1:$G$58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<sst xmlns="http://schemas.openxmlformats.org/spreadsheetml/2006/main" count="551" uniqueCount="387">
  <si>
    <t xml:space="preserve">Prior Authorization Modernization — Cost Model</t>
  </si>
  <si>
    <t xml:space="preserve">Assumptions</t>
  </si>
  <si>
    <t xml:space="preserve">Prepared for Richard Williams, IBM  •  July 2026</t>
  </si>
  <si>
    <t xml:space="preserve">All figures below are illustrative planning-level placeholders (not quotes) — cells in blue are inputs. Replace with actual rates/quotes when known.</t>
  </si>
  <si>
    <t xml:space="preserve">Labor Rates ($ / day, blended)</t>
  </si>
  <si>
    <t xml:space="preserve">Role</t>
  </si>
  <si>
    <t xml:space="preserve">Daily Rate ($)</t>
  </si>
  <si>
    <t xml:space="preserve">Note</t>
  </si>
  <si>
    <t xml:space="preserve">Tech Lead</t>
  </si>
  <si>
    <t xml:space="preserve">Illustrative U.S. blended consulting rate — replace with actual rate</t>
  </si>
  <si>
    <t xml:space="preserve">Backend/FHIR Engineer 1</t>
  </si>
  <si>
    <t xml:space="preserve">Backend/FHIR Engineer 2</t>
  </si>
  <si>
    <t xml:space="preserve">Data/Integration Engineer</t>
  </si>
  <si>
    <t xml:space="preserve">Frontend Engineer</t>
  </si>
  <si>
    <t xml:space="preserve">QA Engineer</t>
  </si>
  <si>
    <t xml:space="preserve">Security Engineer</t>
  </si>
  <si>
    <t xml:space="preserve">Product/Clinical SME</t>
  </si>
  <si>
    <t xml:space="preserve">Project Manager</t>
  </si>
  <si>
    <t xml:space="preserve">Clinical Policy Reviewer</t>
  </si>
  <si>
    <t xml:space="preserve">Schedule Assumptions</t>
  </si>
  <si>
    <t xml:space="preserve">Working days per week</t>
  </si>
  <si>
    <t xml:space="preserve">Standard 5-day work week</t>
  </si>
  <si>
    <t xml:space="preserve">Build duration (weeks)</t>
  </si>
  <si>
    <t xml:space="preserve">From the Implementation Plan — total project End Week</t>
  </si>
  <si>
    <t xml:space="preserve">Avg. working days per month</t>
  </si>
  <si>
    <t xml:space="preserve">52 weeks x 5 days / 12 months</t>
  </si>
  <si>
    <t xml:space="preserve">Build duration (months)</t>
  </si>
  <si>
    <t xml:space="preserve">Calculated from build duration in weeks</t>
  </si>
  <si>
    <t xml:space="preserve">Cloud Hosting — Infrastructure (Monthly, USD)</t>
  </si>
  <si>
    <t xml:space="preserve">Cloud Provider</t>
  </si>
  <si>
    <t xml:space="preserve">AWS</t>
  </si>
  <si>
    <t xml:space="preserve">Select AWS or Azure — drives the Total Infrastructure cost below</t>
  </si>
  <si>
    <t xml:space="preserve">Component</t>
  </si>
  <si>
    <t xml:space="preserve">AWS ($/mo)</t>
  </si>
  <si>
    <t xml:space="preserve">Azure ($/mo)</t>
  </si>
  <si>
    <t xml:space="preserve">Compute — CRD/DTR/PAS microservices</t>
  </si>
  <si>
    <t xml:space="preserve">AWS Fargate (ECS) / Azure Container Apps</t>
  </si>
  <si>
    <t xml:space="preserve">Managed FHIR Datastore</t>
  </si>
  <si>
    <t xml:space="preserve">AWS HealthLake / Azure Health Data Services (FHIR service)</t>
  </si>
  <si>
    <t xml:space="preserve">PA Aggregation DB &amp; Object Storage</t>
  </si>
  <si>
    <t xml:space="preserve">RDS Postgres + S3 / Azure Cosmos DB + Blob Storage</t>
  </si>
  <si>
    <t xml:space="preserve">DTR SMART App Hosting (CDN)</t>
  </si>
  <si>
    <t xml:space="preserve">CloudFront + S3 / Azure Static Web Apps + CDN</t>
  </si>
  <si>
    <t xml:space="preserve">API Gateway / Load Balancer</t>
  </si>
  <si>
    <t xml:space="preserve">AWS ALB + API Gateway / Azure API Management</t>
  </si>
  <si>
    <t xml:space="preserve">Backup &amp; Disaster Recovery</t>
  </si>
  <si>
    <t xml:space="preserve">Cross-region backup and point-in-time recovery</t>
  </si>
  <si>
    <t xml:space="preserve">Monitoring &amp; Logging</t>
  </si>
  <si>
    <t xml:space="preserve">Amazon CloudWatch / Azure Monitor</t>
  </si>
  <si>
    <t xml:space="preserve">Security — WAF, Key Mgmt, Secrets</t>
  </si>
  <si>
    <t xml:space="preserve">AWS WAF + KMS / Azure Front Door WAF + Key Vault</t>
  </si>
  <si>
    <t xml:space="preserve">Total Infrastructure (Monthly, Selected Provider)</t>
  </si>
  <si>
    <t xml:space="preserve">Integration Scope — EMR Connections</t>
  </si>
  <si>
    <t xml:space="preserve">EMR connections included in base build</t>
  </si>
  <si>
    <t xml:space="preserve">Base build (Phase 4b) integrates one EMR via generic US Core v3</t>
  </si>
  <si>
    <t xml:space="preserve">Total EMR connections in scope</t>
  </si>
  <si>
    <t xml:space="preserve">Idaho: Epic + Oracle Health/Cerner + MEDITECH + 1 platform for remaining independent/CAH facilities — see Idaho EMR &amp; Facility Landscape below</t>
  </si>
  <si>
    <t xml:space="preserve">Cost per additional EMR connection (one-time)</t>
  </si>
  <si>
    <t xml:space="preserve">Vendor app-store certification (e.g., Epic App Orchard), sandbox integration &amp; testing</t>
  </si>
  <si>
    <t xml:space="preserve">Cost per additional EMR connection (monthly, ongoing)</t>
  </si>
  <si>
    <t xml:space="preserve">Ongoing vendor fees + maintenance per connected EMR</t>
  </si>
  <si>
    <t xml:space="preserve">Additional EMR connections</t>
  </si>
  <si>
    <t xml:space="preserve">Total minus what the base build already includes</t>
  </si>
  <si>
    <t xml:space="preserve">Idaho EMR &amp; Facility Landscape</t>
  </si>
  <si>
    <t xml:space="preserve">Research-based facility counts per EMR platform, current as of July 2026 (see chat for sources). The ‘Platform’ rows above cover the one-time engineering cost to integrate with each EMR VENDOR once; every individual hospital/facility running that vendor still needs its own site rollout — that per-facility cost is priced separately below.</t>
  </si>
  <si>
    <t xml:space="preserve">EMR Platform</t>
  </si>
  <si>
    <t xml:space="preserve">Idaho Hospital Facilities</t>
  </si>
  <si>
    <t xml:space="preserve">Note / Source</t>
  </si>
  <si>
    <t xml:space="preserve">Epic</t>
  </si>
  <si>
    <t xml:space="preserve">St. Luke's Health System (6 hospitals) + Kootenai Health (1) — both confirmed Epic</t>
  </si>
  <si>
    <t xml:space="preserve">Oracle Health / Cerner</t>
  </si>
  <si>
    <t xml:space="preserve">Saint Alphonsus Idaho facilities (Boise + Nampa); Trinity Health parent may migrate to Epic over time — monitor</t>
  </si>
  <si>
    <t xml:space="preserve">MEDITECH</t>
  </si>
  <si>
    <t xml:space="preserve">HCA/Eastern Idaho Regional Medical Center (1, confirmed Expanse) + ~8 estimated critical access hospitals (MEDITECH targets 1-200 bed facilities)</t>
  </si>
  <si>
    <t xml:space="preserve">Other / Unconfirmed (CPSI, Cerner CommunityWorks, athenahealth, independent)</t>
  </si>
  <si>
    <t xml:space="preserve">Remaining Idaho hospitals, mostly small critical access facilities — vendor mix not individually confirmed, needs direct payer/facility outreach</t>
  </si>
  <si>
    <t xml:space="preserve">Total Idaho Hospital Facilities</t>
  </si>
  <si>
    <t xml:space="preserve">Idaho: 55 hospitals total, incl. 27 CMS-designated critical access hospitals (Becker's Hospital Review / RHT Compass, 2025)</t>
  </si>
  <si>
    <t xml:space="preserve">Facilities in scope for initial deployment</t>
  </si>
  <si>
    <t xml:space="preserve">Default = the 3 confirmed platforms only (Epic 7 + Oracle Health/Cerner 2 + MEDITECH 9); expand once the 'Other/Unconfirmed' 37 are vendor-confirmed</t>
  </si>
  <si>
    <t xml:space="preserve">Cost per facility install (one-time)</t>
  </si>
  <si>
    <t xml:space="preserve">Site-specific go-live: order-set/workflow validation, local IT coordination, provider orientation — much lighter than the platform-level build</t>
  </si>
  <si>
    <t xml:space="preserve">Cost per facility install (monthly, ongoing)</t>
  </si>
  <si>
    <t xml:space="preserve">Per-site monitoring, credential rotation, minor local config support</t>
  </si>
  <si>
    <t xml:space="preserve">Total Facility Rollout Cost (one-time)</t>
  </si>
  <si>
    <t xml:space="preserve">Total Facility Connectivity Cost (monthly, ongoing)</t>
  </si>
  <si>
    <t xml:space="preserve">Integration Scope — Payer Connections</t>
  </si>
  <si>
    <t xml:space="preserve">Production payer connections in scope</t>
  </si>
  <si>
    <t xml:space="preserve">Each payer requires its own CRD/DTR/PAS endpoint onboarding &amp; trading partner agreement</t>
  </si>
  <si>
    <t xml:space="preserve">Cost per payer onboarding (one-time)</t>
  </si>
  <si>
    <t xml:space="preserve">Endpoint conformance testing, EDI 278/275 mapping validation, trading partner agreement, go-live certification</t>
  </si>
  <si>
    <t xml:space="preserve">Cost per payer connection (monthly, ongoing)</t>
  </si>
  <si>
    <t xml:space="preserve">Monitoring + per-payer clearinghouse/EDI fees</t>
  </si>
  <si>
    <t xml:space="preserve">Other Endpoints</t>
  </si>
  <si>
    <t xml:space="preserve">EDI clearinghouse connection setup (one-time)</t>
  </si>
  <si>
    <t xml:space="preserve">One-time trading-partner setup, distinct from the monthly translator fee below</t>
  </si>
  <si>
    <t xml:space="preserve">Additional HIE / data-source connections</t>
  </si>
  <si>
    <t xml:space="preserve">State HIE or other external clinical data source — optional, defaults to none</t>
  </si>
  <si>
    <t xml:space="preserve">Cost per additional HIE connection (one-time)</t>
  </si>
  <si>
    <t xml:space="preserve">Only applies if the count above is &gt; 0</t>
  </si>
  <si>
    <t xml:space="preserve">Third-Party Licensing</t>
  </si>
  <si>
    <t xml:space="preserve">Item</t>
  </si>
  <si>
    <t xml:space="preserve">Cost</t>
  </si>
  <si>
    <t xml:space="preserve">Milliman Care Guidelines API (annual)</t>
  </si>
  <si>
    <t xml:space="preserve">Illustrative annual license fee — confirm with vendor</t>
  </si>
  <si>
    <t xml:space="preserve">InterQual API (annual)</t>
  </si>
  <si>
    <t xml:space="preserve">EDI Clearinghouse / Translator (monthly)</t>
  </si>
  <si>
    <t xml:space="preserve">Transaction-based estimate for X12 278/275</t>
  </si>
  <si>
    <t xml:space="preserve">watsonx / GenAI Usage — Build Phase (monthly)</t>
  </si>
  <si>
    <t xml:space="preserve">Lower volume during build/test</t>
  </si>
  <si>
    <t xml:space="preserve">watsonx / GenAI Usage — Post-Launch (monthly)</t>
  </si>
  <si>
    <t xml:space="preserve">Estimated production volume</t>
  </si>
  <si>
    <t xml:space="preserve">HIPAA &amp; Compliance Certification</t>
  </si>
  <si>
    <t xml:space="preserve">HIPAA Risk Assessment &amp; Gap Remediation (one-time)</t>
  </si>
  <si>
    <t xml:space="preserve">Third-party HIPAA Security Rule risk assessment ahead of go-live</t>
  </si>
  <si>
    <t xml:space="preserve">BAA Legal Review &amp; Execution (one-time)</t>
  </si>
  <si>
    <t xml:space="preserve">Legal review/execution of Business Associate Agreements with EMR/payer partners</t>
  </si>
  <si>
    <t xml:space="preserve">SOC 2 Type II Readiness + Audit — Year 1 (one-time)</t>
  </si>
  <si>
    <t xml:space="preserve">Common trust requirement for payer/EMR trading partners</t>
  </si>
  <si>
    <t xml:space="preserve">SOC 2 Type II Annual Renewal (ongoing/year)</t>
  </si>
  <si>
    <t xml:space="preserve">Recurring annual audit after Year 1</t>
  </si>
  <si>
    <t xml:space="preserve">Include HITRUST CSF Certification?</t>
  </si>
  <si>
    <t xml:space="preserve">No</t>
  </si>
  <si>
    <t xml:space="preserve">Optional upgrade — only if required by a specific payer/EMR trading partner</t>
  </si>
  <si>
    <t xml:space="preserve">HITRUST CSF Certification (one-time)</t>
  </si>
  <si>
    <t xml:space="preserve">Only applied to totals if 'Include HITRUST' above is Yes</t>
  </si>
  <si>
    <t xml:space="preserve">HITRUST CSF Annual Renewal (ongoing/year)</t>
  </si>
  <si>
    <t xml:space="preserve">One-Time Costs (Other)</t>
  </si>
  <si>
    <t xml:space="preserve">External Security Penetration Test</t>
  </si>
  <si>
    <t xml:space="preserve">One-time, ahead of go-live</t>
  </si>
  <si>
    <t xml:space="preserve">UAT Logistics &amp; Clinical SME Stipends</t>
  </si>
  <si>
    <t xml:space="preserve">One-time, hardening sprint</t>
  </si>
  <si>
    <t xml:space="preserve">Total One-Time Costs (Other)</t>
  </si>
  <si>
    <t xml:space="preserve">Contingency %</t>
  </si>
  <si>
    <t xml:space="preserve">Applied to Labor + Infrastructure + Licensing + Integration + Compliance + One-Time subtotal</t>
  </si>
  <si>
    <t xml:space="preserve">Post Go-Live Support (Ongoing, Monthly)</t>
  </si>
  <si>
    <t xml:space="preserve">Backend/FHIR Support Engineer allocation (FTE)</t>
  </si>
  <si>
    <t xml:space="preserve">Ongoing production support</t>
  </si>
  <si>
    <t xml:space="preserve">QA Support allocation (FTE)</t>
  </si>
  <si>
    <t xml:space="preserve">Ongoing regression/monitoring support</t>
  </si>
  <si>
    <t xml:space="preserve">Infra scale-up factor, post-launch</t>
  </si>
  <si>
    <t xml:space="preserve">Applied to build-phase infra monthly total for production load</t>
  </si>
  <si>
    <t xml:space="preserve">Policy Ingestion &amp; Clinical Review (Intelligent Policy Engine -&gt; DTR Rules)</t>
  </si>
  <si>
    <t xml:space="preserve">Every payer medical policy the Intelligent Policy Engine converts into a DTR Questionnaire+CQL rule set must be clinically reviewed and signed off before use — this section is unscoped in the base 57-task build plan (S0-03 only validates the pipeline on one sample policy) and needs its own headcount and per-document cost.</t>
  </si>
  <si>
    <t xml:space="preserve">Policies per payer — initial ingestion scope</t>
  </si>
  <si>
    <t xml:space="preserve">PLACEHOLDER — actual policy library size is unknown; confirm the real count with each payer and update this cell</t>
  </si>
  <si>
    <t xml:space="preserve">Total policies — initial ingestion</t>
  </si>
  <si>
    <t xml:space="preserve">Production payer connections (above) x policies per payer</t>
  </si>
  <si>
    <t xml:space="preserve">New / revised policies per payer, per year</t>
  </si>
  <si>
    <t xml:space="preserve">Illustrative — payers typically revise ~15-25% of active policies annually plus add new ones</t>
  </si>
  <si>
    <t xml:space="preserve">Total policies processed — annual (ongoing)</t>
  </si>
  <si>
    <t xml:space="preserve">Production payer connections (above) x new/revised policies per payer per year</t>
  </si>
  <si>
    <t xml:space="preserve">Clinical Policy Reviewer hours per working day</t>
  </si>
  <si>
    <t xml:space="preserve">Standard full workday</t>
  </si>
  <si>
    <t xml:space="preserve">Review hours per document — initial ingestion</t>
  </si>
  <si>
    <t xml:space="preserve">Read source policy, verify AI-extracted JSON/Questionnaire/CQL mapping, validate ICD-10/CPT code sets, sign off</t>
  </si>
  <si>
    <t xml:space="preserve">Review hours per document — annual revision</t>
  </si>
  <si>
    <t xml:space="preserve">Lighter delta-review against an already-approved baseline</t>
  </si>
  <si>
    <t xml:space="preserve">Clinical Policy Reviewer hourly rate</t>
  </si>
  <si>
    <t xml:space="preserve">Clinical Policy Reviewer daily rate (Labor Rates above) / hours per day</t>
  </si>
  <si>
    <t xml:space="preserve">Cost per document — initial ingestion</t>
  </si>
  <si>
    <t xml:space="preserve">Reviewer hourly rate x initial review hours per document</t>
  </si>
  <si>
    <t xml:space="preserve">Cost per document — annual revision</t>
  </si>
  <si>
    <t xml:space="preserve">Reviewer hourly rate x revision review hours per document</t>
  </si>
  <si>
    <t xml:space="preserve">Total Initial Policy Review Cost (one-time)</t>
  </si>
  <si>
    <t xml:space="preserve">Total Annual Policy Revision Review Cost (ongoing)</t>
  </si>
  <si>
    <t xml:space="preserve">Implied reviewer FTEs to clear initial backlog within build window</t>
  </si>
  <si>
    <t xml:space="preserve">Total initial review hours / (build weeks x days/week x hours/day) — staffing guide only</t>
  </si>
  <si>
    <t xml:space="preserve">ID</t>
  </si>
  <si>
    <t xml:space="preserve">Phase</t>
  </si>
  <si>
    <t xml:space="preserve">Task</t>
  </si>
  <si>
    <t xml:space="preserve">Owner Role</t>
  </si>
  <si>
    <t xml:space="preserve">Person-Days</t>
  </si>
  <si>
    <t xml:space="preserve">Task Cost ($)</t>
  </si>
  <si>
    <t xml:space="preserve">S0-01</t>
  </si>
  <si>
    <t xml:space="preserve">S0</t>
  </si>
  <si>
    <t xml:space="preserve">Repo &amp; Environment Review</t>
  </si>
  <si>
    <t xml:space="preserve">S0-02</t>
  </si>
  <si>
    <t xml:space="preserve">Cut feature/phase4-crd-dtr-pas-integration Branch</t>
  </si>
  <si>
    <t xml:space="preserve">S0-03</t>
  </si>
  <si>
    <t xml:space="preserve">Intelligent Policy Engine Schema Spike</t>
  </si>
  <si>
    <t xml:space="preserve">S0-04</t>
  </si>
  <si>
    <t xml:space="preserve">Milliman/InterQual API Access &amp; Licensing Confirmation</t>
  </si>
  <si>
    <t xml:space="preserve">S0-05</t>
  </si>
  <si>
    <t xml:space="preserve">Payer Endpoint Directory &amp; Capability Schema</t>
  </si>
  <si>
    <t xml:space="preserve">S0-06</t>
  </si>
  <si>
    <t xml:space="preserve">CI/CD &amp; Environment Setup</t>
  </si>
  <si>
    <t xml:space="preserve">S0-07</t>
  </si>
  <si>
    <t xml:space="preserve">Confidence-Threshold Policy Workshop</t>
  </si>
  <si>
    <t xml:space="preserve">4A-01</t>
  </si>
  <si>
    <t xml:space="preserve">4A</t>
  </si>
  <si>
    <t xml:space="preserve">CDS Hooks Client</t>
  </si>
  <si>
    <t xml:space="preserve">4A-02</t>
  </si>
  <si>
    <t xml:space="preserve">Prior Auth Service Orchestrator (Skeleton)</t>
  </si>
  <si>
    <t xml:space="preserve">4A-03</t>
  </si>
  <si>
    <t xml:space="preserve">Eligibility &amp; Enrollment Check</t>
  </si>
  <si>
    <t xml:space="preserve">4A-04</t>
  </si>
  <si>
    <t xml:space="preserve">Provider Network Status Check</t>
  </si>
  <si>
    <t xml:space="preserve">4A-05</t>
  </si>
  <si>
    <t xml:space="preserve">Milliman/InterQual Guideline Check</t>
  </si>
  <si>
    <t xml:space="preserve">4A-06</t>
  </si>
  <si>
    <t xml:space="preserve">PA-Required Policy Lookup</t>
  </si>
  <si>
    <t xml:space="preserve">4A-07</t>
  </si>
  <si>
    <t xml:space="preserve">CDS Card / Coverage Information Builder</t>
  </si>
  <si>
    <t xml:space="preserve">4A-08</t>
  </si>
  <si>
    <t xml:space="preserve">CRD Checklist UI Screen</t>
  </si>
  <si>
    <t xml:space="preserve">4A-09</t>
  </si>
  <si>
    <t xml:space="preserve">Manual-Review Routing (Fail Path)</t>
  </si>
  <si>
    <t xml:space="preserve">4A-10</t>
  </si>
  <si>
    <t xml:space="preserve">Phase 4a Test Pass</t>
  </si>
  <si>
    <t xml:space="preserve">4A-11</t>
  </si>
  <si>
    <t xml:space="preserve">Phase 4a Demo &amp; Stakeholder Review</t>
  </si>
  <si>
    <t xml:space="preserve">4B-01</t>
  </si>
  <si>
    <t xml:space="preserve">4B</t>
  </si>
  <si>
    <t xml:space="preserve">PA Aggregation FHIR Server Provisioning</t>
  </si>
  <si>
    <t xml:space="preserve">4B-02</t>
  </si>
  <si>
    <t xml:space="preserve">EMR US Core v3 Pull Service</t>
  </si>
  <si>
    <t xml:space="preserve">4B-03</t>
  </si>
  <si>
    <t xml:space="preserve">Patient Access API Pull Service</t>
  </si>
  <si>
    <t xml:space="preserve">4B-04</t>
  </si>
  <si>
    <t xml:space="preserve">Merge, Priority &amp; Provenance Logic</t>
  </si>
  <si>
    <t xml:space="preserve">4B-05</t>
  </si>
  <si>
    <t xml:space="preserve">Questionnaire Package Retrieval</t>
  </si>
  <si>
    <t xml:space="preserve">4B-06</t>
  </si>
  <si>
    <t xml:space="preserve">DTR SMART App Launch</t>
  </si>
  <si>
    <t xml:space="preserve">4B-07</t>
  </si>
  <si>
    <t xml:space="preserve">CQL Execution Engine Integration</t>
  </si>
  <si>
    <t xml:space="preserve">4B-08</t>
  </si>
  <si>
    <t xml:space="preserve">Medical Necessity Tree UI</t>
  </si>
  <si>
    <t xml:space="preserve">4B-09</t>
  </si>
  <si>
    <t xml:space="preserve">CDex Attachment Upload</t>
  </si>
  <si>
    <t xml:space="preserve">4B-10</t>
  </si>
  <si>
    <t xml:space="preserve">Re-run Match on Upload</t>
  </si>
  <si>
    <t xml:space="preserve">4B-11</t>
  </si>
  <si>
    <t xml:space="preserve">Phase 4b Test Pass</t>
  </si>
  <si>
    <t xml:space="preserve">4B-12</t>
  </si>
  <si>
    <t xml:space="preserve">Phase 4b Demo &amp; Stakeholder Review</t>
  </si>
  <si>
    <t xml:space="preserve">4C-01</t>
  </si>
  <si>
    <t xml:space="preserve">4C</t>
  </si>
  <si>
    <t xml:space="preserve">PASBundle Assembly Service</t>
  </si>
  <si>
    <t xml:space="preserve">4C-02</t>
  </si>
  <si>
    <t xml:space="preserve">Claim/$submit Integration</t>
  </si>
  <si>
    <t xml:space="preserve">4C-03</t>
  </si>
  <si>
    <t xml:space="preserve">EDI Translator (X12 278/275)</t>
  </si>
  <si>
    <t xml:space="preserve">4C-04</t>
  </si>
  <si>
    <t xml:space="preserve">Channel Selection Logic</t>
  </si>
  <si>
    <t xml:space="preserve">4C-05</t>
  </si>
  <si>
    <t xml:space="preserve">Review &amp; Submit UI Screen</t>
  </si>
  <si>
    <t xml:space="preserve">4C-06</t>
  </si>
  <si>
    <t xml:space="preserve">PA Number &amp; Case Record Generation</t>
  </si>
  <si>
    <t xml:space="preserve">4C-07</t>
  </si>
  <si>
    <t xml:space="preserve">PA Portal Status Vocabulary Update</t>
  </si>
  <si>
    <t xml:space="preserve">4C-08</t>
  </si>
  <si>
    <t xml:space="preserve">Phase 4c Test Pass</t>
  </si>
  <si>
    <t xml:space="preserve">4D-01</t>
  </si>
  <si>
    <t xml:space="preserve">4D</t>
  </si>
  <si>
    <t xml:space="preserve">Evidence Record PDF Generator</t>
  </si>
  <si>
    <t xml:space="preserve">4D-02</t>
  </si>
  <si>
    <t xml:space="preserve">FHIR Subscription (rest-hook) Listener</t>
  </si>
  <si>
    <t xml:space="preserve">4D-03</t>
  </si>
  <si>
    <t xml:space="preserve">Claim/$inquiry Manual Fallback</t>
  </si>
  <si>
    <t xml:space="preserve">4D-04</t>
  </si>
  <si>
    <t xml:space="preserve">ClaimResponse Processing &amp; Status Mapping</t>
  </si>
  <si>
    <t xml:space="preserve">4D-05</t>
  </si>
  <si>
    <t xml:space="preserve">Case Detail / Timeline UI</t>
  </si>
  <si>
    <t xml:space="preserve">4D-06</t>
  </si>
  <si>
    <t xml:space="preserve">Resubmit vs. Update/Cancel Logic</t>
  </si>
  <si>
    <t xml:space="preserve">4D-07</t>
  </si>
  <si>
    <t xml:space="preserve">Phase 4d Test Pass</t>
  </si>
  <si>
    <t xml:space="preserve">4E-01</t>
  </si>
  <si>
    <t xml:space="preserve">4E</t>
  </si>
  <si>
    <t xml:space="preserve">Batch Worklist Queue Service</t>
  </si>
  <si>
    <t xml:space="preserve">4E-02</t>
  </si>
  <si>
    <t xml:space="preserve">Back-Office Worklist UI</t>
  </si>
  <si>
    <t xml:space="preserve">4E-03</t>
  </si>
  <si>
    <t xml:space="preserve">Staff Assignment &amp; Override Workflow</t>
  </si>
  <si>
    <t xml:space="preserve">4E-04</t>
  </si>
  <si>
    <t xml:space="preserve">Audit Trail for Manual Overrides</t>
  </si>
  <si>
    <t xml:space="preserve">4E-05</t>
  </si>
  <si>
    <t xml:space="preserve">Phase 4e Test Pass</t>
  </si>
  <si>
    <t xml:space="preserve">HD-01</t>
  </si>
  <si>
    <t xml:space="preserve">HD</t>
  </si>
  <si>
    <t xml:space="preserve">End-to-End Integration Testing</t>
  </si>
  <si>
    <t xml:space="preserve">HD-02</t>
  </si>
  <si>
    <t xml:space="preserve">Security Review</t>
  </si>
  <si>
    <t xml:space="preserve">HD-03</t>
  </si>
  <si>
    <t xml:space="preserve">CMS-0057-F Compliance Validation</t>
  </si>
  <si>
    <t xml:space="preserve">HD-04</t>
  </si>
  <si>
    <t xml:space="preserve">Performance / Load Testing</t>
  </si>
  <si>
    <t xml:space="preserve">HD-05</t>
  </si>
  <si>
    <t xml:space="preserve">UAT with Clinical Stakeholders</t>
  </si>
  <si>
    <t xml:space="preserve">HD-06</t>
  </si>
  <si>
    <t xml:space="preserve">Production Readiness Review &amp; Go-Live Checklist</t>
  </si>
  <si>
    <t xml:space="preserve">HD-07</t>
  </si>
  <si>
    <t xml:space="preserve">Documentation &amp; Handoff</t>
  </si>
  <si>
    <t xml:space="preserve">TOTAL</t>
  </si>
  <si>
    <t xml:space="preserve">Cost Summary — Implementation (Build) Cost</t>
  </si>
  <si>
    <t xml:space="preserve">Scope: 1 payer set of test profiles is built/tested in Phase 4b; production EMR and payer connection counts are set in Assumptions.</t>
  </si>
  <si>
    <t xml:space="preserve">Labor Cost by Role</t>
  </si>
  <si>
    <t xml:space="preserve">Cost ($)</t>
  </si>
  <si>
    <t xml:space="preserve">Total Labor Cost</t>
  </si>
  <si>
    <t xml:space="preserve">Labor Cost by Phase</t>
  </si>
  <si>
    <t xml:space="preserve">Phase Name</t>
  </si>
  <si>
    <t xml:space="preserve">Sprint 0 — Foundation &amp; Design Spike</t>
  </si>
  <si>
    <t xml:space="preserve">Phase 4a — CRD Integration &amp; Checklist UI</t>
  </si>
  <si>
    <t xml:space="preserve">Phase 4b — DTR, Aggregation FHIR Server &amp; Necessity Tree UI</t>
  </si>
  <si>
    <t xml:space="preserve">Phase 4c — PAS Submission &amp; Channel Routing</t>
  </si>
  <si>
    <t xml:space="preserve">Phase 4d — Evidence Record &amp; Status Sync</t>
  </si>
  <si>
    <t xml:space="preserve">Phase 4e — Back-Office Batch Worklist</t>
  </si>
  <si>
    <t xml:space="preserve">Hardening — Integration, Security, Compliance, UAT</t>
  </si>
  <si>
    <t xml:space="preserve">Scope Detail — EMR, Payer &amp; Other Endpoints</t>
  </si>
  <si>
    <t xml:space="preserve">Quantity</t>
  </si>
  <si>
    <t xml:space="preserve">Cost ($, one-time)</t>
  </si>
  <si>
    <t xml:space="preserve">EMR connections (additional, beyond base build)</t>
  </si>
  <si>
    <t xml:space="preserve">Payer connections (production onboarding)</t>
  </si>
  <si>
    <t xml:space="preserve">EDI clearinghouse connection setup</t>
  </si>
  <si>
    <t xml:space="preserve">Idaho facility rollout (per-site install, one-time)</t>
  </si>
  <si>
    <t xml:space="preserve">Total EMR / Payer / Endpoint Cost</t>
  </si>
  <si>
    <t xml:space="preserve">HIPAA Risk Assessment &amp; Remediation</t>
  </si>
  <si>
    <t xml:space="preserve">BAA Legal Review &amp; Execution</t>
  </si>
  <si>
    <t xml:space="preserve">SOC 2 Type II — Year 1 (readiness + audit)</t>
  </si>
  <si>
    <t xml:space="preserve">HITRUST CSF Certification (if included)</t>
  </si>
  <si>
    <t xml:space="preserve">Total Compliance Cost</t>
  </si>
  <si>
    <t xml:space="preserve">Metric</t>
  </si>
  <si>
    <t xml:space="preserve">Value</t>
  </si>
  <si>
    <t xml:space="preserve">Production payer connections</t>
  </si>
  <si>
    <t xml:space="preserve">From Integration Scope — Payer Connections</t>
  </si>
  <si>
    <t xml:space="preserve">Policies per payer (initial scope)</t>
  </si>
  <si>
    <t xml:space="preserve">PLACEHOLDER — confirm actual policy library size per payer</t>
  </si>
  <si>
    <t xml:space="preserve">Clinically reviewed once, at launch</t>
  </si>
  <si>
    <t xml:space="preserve">Clinical Policy Reviewer hourly rate x initial review hours</t>
  </si>
  <si>
    <t xml:space="preserve">Implied Clinical Policy Reviewer FTEs (to clear initial backlog within the build window)</t>
  </si>
  <si>
    <t xml:space="preserve">Staffing guide only — see Assumptions</t>
  </si>
  <si>
    <t xml:space="preserve">New / revised policies per payer, per year (ongoing)</t>
  </si>
  <si>
    <t xml:space="preserve">Illustrative annual revision rate</t>
  </si>
  <si>
    <t xml:space="preserve">Feeds the Ongoing Run-Rate tab</t>
  </si>
  <si>
    <t xml:space="preserve">Idaho EMR &amp; Facility Rollout</t>
  </si>
  <si>
    <t xml:space="preserve">Total Idaho hospital facilities (all vendors)</t>
  </si>
  <si>
    <t xml:space="preserve">55 hospitals statewide, incl. 27 critical access hospitals</t>
  </si>
  <si>
    <t xml:space="preserve">Epic (7) + Oracle Health/Cerner (2) + MEDITECH (9) -- the 3 confirmed platforms</t>
  </si>
  <si>
    <t xml:space="preserve">Cost per facility (one-time)</t>
  </si>
  <si>
    <t xml:space="preserve">Site go-live: workflow validation, IT coordination, training</t>
  </si>
  <si>
    <t xml:space="preserve">Cost per facility (monthly, ongoing)</t>
  </si>
  <si>
    <t xml:space="preserve">Per-site monitoring, credential rotation, local support</t>
  </si>
  <si>
    <t xml:space="preserve">Implementation Cost Build-Up</t>
  </si>
  <si>
    <t xml:space="preserve">Category</t>
  </si>
  <si>
    <t xml:space="preserve">Basis</t>
  </si>
  <si>
    <t xml:space="preserve">Labor</t>
  </si>
  <si>
    <t xml:space="preserve">Sum of all 57 task costs (Task Cost Detail)</t>
  </si>
  <si>
    <t xml:space="preserve">Infrastructure (build phase)</t>
  </si>
  <si>
    <t xml:space="preserve">Monthly infra total (selected cloud provider) x build duration in months</t>
  </si>
  <si>
    <t xml:space="preserve">Third-Party Licensing (build phase)</t>
  </si>
  <si>
    <t xml:space="preserve">Milliman + InterQual (pro-rated annual) + EDI translator + watsonx, all x build months</t>
  </si>
  <si>
    <t xml:space="preserve">EMR / Payer / Other Endpoint Onboarding</t>
  </si>
  <si>
    <t xml:space="preserve">See Scope Detail above</t>
  </si>
  <si>
    <t xml:space="preserve">See HIPAA &amp; Compliance Certification above</t>
  </si>
  <si>
    <t xml:space="preserve">Security penetration test + UAT logistics</t>
  </si>
  <si>
    <t xml:space="preserve">Policy Ingestion — Initial Clinical Review</t>
  </si>
  <si>
    <t xml:space="preserve">Clinical Policy Reviewer sign-off on every policy converted to a DTR rule set at launch — see Assumptions</t>
  </si>
  <si>
    <t xml:space="preserve">Subtotal</t>
  </si>
  <si>
    <t xml:space="preserve">Contingency</t>
  </si>
  <si>
    <t xml:space="preserve">Contingency % applied to subtotal</t>
  </si>
  <si>
    <t xml:space="preserve">TOTAL IMPLEMENTATION COST</t>
  </si>
  <si>
    <t xml:space="preserve">Ongoing Run-Rate — Post Go-Live (Steady State)</t>
  </si>
  <si>
    <t xml:space="preserve">Monthly and annual operating cost once the solution is live, independent of the one-time build cost.</t>
  </si>
  <si>
    <t xml:space="preserve">Monthly ($)</t>
  </si>
  <si>
    <t xml:space="preserve">Infrastructure &amp; Hosting (scaled for production)</t>
  </si>
  <si>
    <t xml:space="preserve">Build-phase infra monthly total (selected cloud provider) x post-launch scale-up factor</t>
  </si>
  <si>
    <t xml:space="preserve">Third-Party Licensing (recurring)</t>
  </si>
  <si>
    <t xml:space="preserve">Milliman/12 + InterQual/12 + EDI translator + watsonx (post-launch volume)</t>
  </si>
  <si>
    <t xml:space="preserve">Backend/FHIR Support Labor</t>
  </si>
  <si>
    <t xml:space="preserve">Support FTE allocation x daily rate x avg. working days/month</t>
  </si>
  <si>
    <t xml:space="preserve">QA Support Labor</t>
  </si>
  <si>
    <t xml:space="preserve">Additional EMR Connections (maintenance)</t>
  </si>
  <si>
    <t xml:space="preserve">Additional EMR connections x ongoing monthly rate per connection</t>
  </si>
  <si>
    <t xml:space="preserve">Payer Connections (monitoring &amp; fees)</t>
  </si>
  <si>
    <t xml:space="preserve">Production payer connections x ongoing monthly rate per connection</t>
  </si>
  <si>
    <t xml:space="preserve">SOC 2 Type II Annual Renewal (amortized monthly)</t>
  </si>
  <si>
    <t xml:space="preserve">Annual renewal cost spread across 12 months</t>
  </si>
  <si>
    <t xml:space="preserve">HITRUST CSF Annual Renewal (amortized monthly, if included)</t>
  </si>
  <si>
    <t xml:space="preserve">Only non-zero if HITRUST is included in Assumptions</t>
  </si>
  <si>
    <t xml:space="preserve">Policy Revision — Clinical Review (amortized monthly)</t>
  </si>
  <si>
    <t xml:space="preserve">Annual clinical review cost for new/revised payer policies, spread across 12 months</t>
  </si>
  <si>
    <t xml:space="preserve">Facility Connectivity (per-install, ongoing)</t>
  </si>
  <si>
    <t xml:space="preserve">Facilities in scope x monthly cost per facility install (Idaho EMR &amp; Facility Landscape)</t>
  </si>
  <si>
    <t xml:space="preserve">Total Monthly Run-Rate</t>
  </si>
  <si>
    <t xml:space="preserve">Total Annual Run-Rate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</si>
</sst>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0"/>
    <numFmt numFmtId="167" formatCode="0.0%"/>
    <numFmt numFmtId="168" formatCode="0.00\x"/>
    <numFmt numFmtId="169" formatCode="\$#,##0.00"/>
    <numFmt numFmtId="170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2314F"/>
      <name val="Arial"/>
      <family val="0"/>
      <charset val="1"/>
    </font>
    <font>
      <i val="true"/>
      <sz val="12"/>
      <color rgb="FF6B7A88"/>
      <name val="Arial"/>
      <family val="0"/>
      <charset val="1"/>
    </font>
    <font>
      <sz val="10"/>
      <color rgb="FF6B7A88"/>
      <name val="Arial"/>
      <family val="0"/>
      <charset val="1"/>
    </font>
    <font>
      <i val="true"/>
      <sz val="9"/>
      <color rgb="FF6B7A88"/>
      <name val="Arial"/>
      <family val="0"/>
      <charset val="1"/>
    </font>
    <font>
      <b val="true"/>
      <sz val="13"/>
      <color rgb="FF0E7C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6"/>
      <color rgb="FF12314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7C7B"/>
        <bgColor rgb="FF008080"/>
      </patternFill>
    </fill>
    <fill>
      <patternFill patternType="solid">
        <fgColor rgb="FFFFFDE7"/>
        <bgColor rgb="FFF9F9F9"/>
      </patternFill>
    </fill>
    <fill>
      <patternFill patternType="solid">
        <fgColor rgb="FFF2F4F6"/>
        <bgColor rgb="FFF9F9F9"/>
      </patternFill>
    </fill>
    <fill>
      <patternFill patternType="solid">
        <fgColor rgb="FF12314F"/>
        <bgColor rgb="FF333333"/>
      </patternFill>
    </fill>
    <fill>
      <patternFill patternType="solid">
        <fgColor rgb="FFEDEDED"/>
        <bgColor rgb="FFE4E9F7"/>
      </patternFill>
    </fill>
    <fill>
      <patternFill patternType="solid">
        <fgColor rgb="FFDCE9F6"/>
        <bgColor rgb="FFE4E9F7"/>
      </patternFill>
    </fill>
    <fill>
      <patternFill patternType="solid">
        <fgColor rgb="FFD9EFEE"/>
        <bgColor rgb="FFDCE9F6"/>
      </patternFill>
    </fill>
    <fill>
      <patternFill patternType="solid">
        <fgColor rgb="FFFBEAD2"/>
        <bgColor rgb="FFF3E6D8"/>
      </patternFill>
    </fill>
    <fill>
      <patternFill patternType="solid">
        <fgColor rgb="FFE4E9F7"/>
        <bgColor rgb="FFDCE9F6"/>
      </patternFill>
    </fill>
    <fill>
      <patternFill patternType="solid">
        <fgColor rgb="FFF3E6D8"/>
        <bgColor rgb="FFFBEAD2"/>
      </patternFill>
    </fill>
    <fill>
      <patternFill patternType="solid">
        <fgColor rgb="FFE7E2EC"/>
        <bgColor rgb="FFE4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231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FEE"/>
          <bgColor rgb="FF000000"/>
        </patternFill>
      </fill>
    </dxf>
    <dxf>
      <fill>
        <patternFill patternType="solid">
          <fgColor rgb="FFDCE9F6"/>
          <bgColor rgb="FF000000"/>
        </patternFill>
      </fill>
    </dxf>
    <dxf>
      <fill>
        <patternFill patternType="solid">
          <fgColor rgb="FFE4E9F7"/>
          <bgColor rgb="FF000000"/>
        </patternFill>
      </fill>
    </dxf>
    <dxf>
      <fill>
        <patternFill patternType="solid">
          <fgColor rgb="FFE7E2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3E6D8"/>
          <bgColor rgb="FF000000"/>
        </patternFill>
      </fill>
    </dxf>
    <dxf>
      <fill>
        <patternFill patternType="solid">
          <fgColor rgb="FFFBEAD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993366"/>
      <rgbColor rgb="FFFFFDE7"/>
      <rgbColor rgb="FFD9EFEE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6"/>
      <rgbColor rgb="FFEDEDED"/>
      <rgbColor rgb="FFFBEAD2"/>
      <rgbColor rgb="FFE7E2EC"/>
      <rgbColor rgb="FFF2F4F6"/>
      <rgbColor rgb="FFE4E9F7"/>
      <rgbColor rgb="FFF3E6D8"/>
      <rgbColor rgb="FF3366FF"/>
      <rgbColor rgb="FF33CCCC"/>
      <rgbColor rgb="FF99CC00"/>
      <rgbColor rgb="FFFFCC00"/>
      <rgbColor rgb="FFFF9900"/>
      <rgbColor rgb="FFC97A1D"/>
      <rgbColor rgb="FF6B7A88"/>
      <rgbColor rgb="FF969696"/>
      <rgbColor rgb="FF1231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Implementation Labor Cost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Summary'!D20</c:f>
              <c:strCache>
                <c:ptCount val="1"/>
                <c:pt idx="0">
                  <c:v>Cost ($)</c:v>
                </c:pt>
              </c:strCache>
            </c:strRef>
          </c:tx>
          <c:spPr>
            <a:solidFill>
              <a:srgbClr val="0E7C7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Summary'!$B$21:$B$27</c:f>
              <c:strCache>
                <c:ptCount val="7"/>
                <c:pt idx="0">
                  <c:v>S0</c:v>
                </c:pt>
                <c:pt idx="1">
                  <c:v>4A</c:v>
                </c:pt>
                <c:pt idx="2">
                  <c:v>4B</c:v>
                </c:pt>
                <c:pt idx="3">
                  <c:v>4C</c:v>
                </c:pt>
                <c:pt idx="4">
                  <c:v>4D</c:v>
                </c:pt>
                <c:pt idx="5">
                  <c:v>4E</c:v>
                </c:pt>
                <c:pt idx="6">
                  <c:v>HD</c:v>
                </c:pt>
              </c:strCache>
            </c:strRef>
          </c:cat>
          <c:val>
            <c:numRef>
              <c:f>'Cost Summary'!$D$21:$D$27</c:f>
              <c:numCache>
                <c:formatCode>\$#,##0</c:formatCode>
                <c:ptCount val="7"/>
                <c:pt idx="0">
                  <c:v>23275</c:v>
                </c:pt>
                <c:pt idx="1">
                  <c:v>43750</c:v>
                </c:pt>
                <c:pt idx="2">
                  <c:v>55150</c:v>
                </c:pt>
                <c:pt idx="3">
                  <c:v>29300</c:v>
                </c:pt>
                <c:pt idx="4">
                  <c:v>26200</c:v>
                </c:pt>
                <c:pt idx="5">
                  <c:v>17600</c:v>
                </c:pt>
                <c:pt idx="6">
                  <c:v>26300</c:v>
                </c:pt>
              </c:numCache>
            </c:numRef>
          </c:val>
        </c:ser>
        <c:gapWidth val="150"/>
        <c:overlap val="0"/>
        <c:axId val="9058897"/>
        <c:axId val="82636458"/>
      </c:barChart>
      <c:catAx>
        <c:axId val="90588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Phase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636458"/>
        <c:crosses val="autoZero"/>
        <c:auto val="1"/>
        <c:lblAlgn val="ctr"/>
        <c:lblOffset val="100"/>
        <c:noMultiLvlLbl val="0"/>
      </c:catAx>
      <c:valAx>
        <c:axId val="82636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88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Implementation Cost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'Cost Summary'!C66</c:f>
              <c:strCache>
                <c:ptCount val="1"/>
                <c:pt idx="0">
                  <c:v>Cost ($)</c:v>
                </c:pt>
              </c:strCache>
            </c:strRef>
          </c:tx>
          <c:spPr>
            <a:solidFill>
              <a:srgbClr val="C97A1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Summary'!$B$67:$B$72</c:f>
              <c:strCache>
                <c:ptCount val="6"/>
                <c:pt idx="0">
                  <c:v>Labor</c:v>
                </c:pt>
                <c:pt idx="1">
                  <c:v>Infrastructure (build phase)</c:v>
                </c:pt>
                <c:pt idx="2">
                  <c:v>Third-Party Licensing (build phase)</c:v>
                </c:pt>
                <c:pt idx="3">
                  <c:v>EMR / Payer / Other Endpoint Onboarding</c:v>
                </c:pt>
                <c:pt idx="4">
                  <c:v>HIPAA &amp; Compliance Certification</c:v>
                </c:pt>
                <c:pt idx="5">
                  <c:v>One-Time Costs (Other)</c:v>
                </c:pt>
              </c:strCache>
            </c:strRef>
          </c:cat>
          <c:val>
            <c:numRef>
              <c:f>'Cost Summary'!$C$67:$C$72</c:f>
              <c:numCache>
                <c:formatCode>\$#,##0</c:formatCode>
                <c:ptCount val="6"/>
                <c:pt idx="0">
                  <c:v>221575</c:v>
                </c:pt>
                <c:pt idx="1">
                  <c:v>26129.0322580645</c:v>
                </c:pt>
                <c:pt idx="2">
                  <c:v>54262.6728110599</c:v>
                </c:pt>
                <c:pt idx="3">
                  <c:v>245000</c:v>
                </c:pt>
                <c:pt idx="4">
                  <c:v>80000</c:v>
                </c:pt>
                <c:pt idx="5">
                  <c:v>33000</c:v>
                </c:pt>
              </c:numCache>
            </c:numRef>
          </c:val>
        </c:ser>
        <c:gapWidth val="150"/>
        <c:overlap val="0"/>
        <c:axId val="83217546"/>
        <c:axId val="24170379"/>
      </c:barChart>
      <c:catAx>
        <c:axId val="832175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170379"/>
        <c:crosses val="autoZero"/>
        <c:auto val="1"/>
        <c:lblAlgn val="ctr"/>
        <c:lblOffset val="100"/>
        <c:noMultiLvlLbl val="0"/>
      </c:catAx>
      <c:valAx>
        <c:axId val="24170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2175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19</xdr:row>
      <xdr:rowOff>0</xdr:rowOff>
    </xdr:from>
    <xdr:to>
      <xdr:col>15</xdr:col>
      <xdr:colOff>255960</xdr:colOff>
      <xdr:row>34</xdr:row>
      <xdr:rowOff>187560</xdr:rowOff>
    </xdr:to>
    <xdr:graphicFrame>
      <xdr:nvGraphicFramePr>
        <xdr:cNvPr id="1" name="Chart 1"/>
        <xdr:cNvGraphicFramePr/>
      </xdr:nvGraphicFramePr>
      <xdr:xfrm>
        <a:off x="9210600" y="370836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65</xdr:row>
      <xdr:rowOff>0</xdr:rowOff>
    </xdr:from>
    <xdr:to>
      <xdr:col>15</xdr:col>
      <xdr:colOff>255960</xdr:colOff>
      <xdr:row>81</xdr:row>
      <xdr:rowOff>11880</xdr:rowOff>
    </xdr:to>
    <xdr:graphicFrame>
      <xdr:nvGraphicFramePr>
        <xdr:cNvPr id="2" name="Chart 2"/>
        <xdr:cNvGraphicFramePr/>
      </xdr:nvGraphicFramePr>
      <xdr:xfrm>
        <a:off x="9210600" y="1254456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5"/>
    <col collapsed="false" customWidth="true" hidden="false" outlineLevel="0" max="5" min="5" style="0" width="5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27.75" hidden="false" customHeight="true" outlineLevel="0" collapsed="false">
      <c r="B5" s="4" t="s">
        <v>3</v>
      </c>
      <c r="C5" s="4"/>
      <c r="D5" s="4"/>
      <c r="E5" s="4"/>
    </row>
    <row r="7" customFormat="false" ht="16.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  <c r="C8" s="6" t="s">
        <v>6</v>
      </c>
      <c r="E8" s="6" t="s">
        <v>7</v>
      </c>
    </row>
    <row r="9" customFormat="false" ht="15" hidden="false" customHeight="false" outlineLevel="0" collapsed="false">
      <c r="B9" s="7" t="s">
        <v>8</v>
      </c>
      <c r="C9" s="8" t="n">
        <v>1450</v>
      </c>
      <c r="D9" s="9"/>
      <c r="E9" s="10" t="s">
        <v>9</v>
      </c>
    </row>
    <row r="10" customFormat="false" ht="15" hidden="false" customHeight="false" outlineLevel="0" collapsed="false">
      <c r="B10" s="7" t="s">
        <v>10</v>
      </c>
      <c r="C10" s="8" t="n">
        <v>1100</v>
      </c>
      <c r="D10" s="9"/>
      <c r="E10" s="10" t="s">
        <v>9</v>
      </c>
    </row>
    <row r="11" customFormat="false" ht="15" hidden="false" customHeight="false" outlineLevel="0" collapsed="false">
      <c r="B11" s="7" t="s">
        <v>11</v>
      </c>
      <c r="C11" s="8" t="n">
        <v>1100</v>
      </c>
      <c r="D11" s="9"/>
      <c r="E11" s="10" t="s">
        <v>9</v>
      </c>
    </row>
    <row r="12" customFormat="false" ht="15" hidden="false" customHeight="false" outlineLevel="0" collapsed="false">
      <c r="B12" s="7" t="s">
        <v>12</v>
      </c>
      <c r="C12" s="8" t="n">
        <v>1100</v>
      </c>
      <c r="D12" s="9"/>
      <c r="E12" s="10" t="s">
        <v>9</v>
      </c>
    </row>
    <row r="13" customFormat="false" ht="15" hidden="false" customHeight="false" outlineLevel="0" collapsed="false">
      <c r="B13" s="7" t="s">
        <v>13</v>
      </c>
      <c r="C13" s="8" t="n">
        <v>1000</v>
      </c>
      <c r="D13" s="9"/>
      <c r="E13" s="10" t="s">
        <v>9</v>
      </c>
    </row>
    <row r="14" customFormat="false" ht="15" hidden="false" customHeight="false" outlineLevel="0" collapsed="false">
      <c r="B14" s="7" t="s">
        <v>14</v>
      </c>
      <c r="C14" s="8" t="n">
        <v>900</v>
      </c>
      <c r="D14" s="9"/>
      <c r="E14" s="10" t="s">
        <v>9</v>
      </c>
    </row>
    <row r="15" customFormat="false" ht="15" hidden="false" customHeight="false" outlineLevel="0" collapsed="false">
      <c r="B15" s="7" t="s">
        <v>15</v>
      </c>
      <c r="C15" s="8" t="n">
        <v>1250</v>
      </c>
      <c r="D15" s="9"/>
      <c r="E15" s="10" t="s">
        <v>9</v>
      </c>
    </row>
    <row r="16" customFormat="false" ht="15" hidden="false" customHeight="false" outlineLevel="0" collapsed="false">
      <c r="B16" s="7" t="s">
        <v>16</v>
      </c>
      <c r="C16" s="8" t="n">
        <v>1300</v>
      </c>
      <c r="D16" s="9"/>
      <c r="E16" s="10" t="s">
        <v>9</v>
      </c>
    </row>
    <row r="17" customFormat="false" ht="15" hidden="false" customHeight="false" outlineLevel="0" collapsed="false">
      <c r="B17" s="7" t="s">
        <v>17</v>
      </c>
      <c r="C17" s="8" t="n">
        <v>1050</v>
      </c>
      <c r="D17" s="9"/>
      <c r="E17" s="10" t="s">
        <v>9</v>
      </c>
    </row>
    <row r="18" customFormat="false" ht="15" hidden="false" customHeight="false" outlineLevel="0" collapsed="false">
      <c r="B18" s="7" t="s">
        <v>18</v>
      </c>
      <c r="C18" s="8" t="n">
        <v>950</v>
      </c>
      <c r="D18" s="9"/>
      <c r="E18" s="10" t="s">
        <v>9</v>
      </c>
    </row>
    <row r="20" customFormat="false" ht="16.15" hidden="false" customHeight="false" outlineLevel="0" collapsed="false">
      <c r="B20" s="5" t="s">
        <v>19</v>
      </c>
    </row>
    <row r="21" customFormat="false" ht="15" hidden="false" customHeight="false" outlineLevel="0" collapsed="false">
      <c r="B21" s="7" t="s">
        <v>20</v>
      </c>
      <c r="C21" s="11" t="n">
        <v>5</v>
      </c>
      <c r="D21" s="9"/>
      <c r="E21" s="10" t="s">
        <v>21</v>
      </c>
    </row>
    <row r="22" customFormat="false" ht="15" hidden="false" customHeight="false" outlineLevel="0" collapsed="false">
      <c r="B22" s="7" t="s">
        <v>22</v>
      </c>
      <c r="C22" s="11" t="n">
        <v>18</v>
      </c>
      <c r="D22" s="9"/>
      <c r="E22" s="10" t="s">
        <v>23</v>
      </c>
    </row>
    <row r="23" customFormat="false" ht="15" hidden="false" customHeight="false" outlineLevel="0" collapsed="false">
      <c r="B23" s="7" t="s">
        <v>24</v>
      </c>
      <c r="C23" s="11" t="n">
        <v>21.7</v>
      </c>
      <c r="D23" s="9"/>
      <c r="E23" s="10" t="s">
        <v>25</v>
      </c>
    </row>
    <row r="24" customFormat="false" ht="15" hidden="false" customHeight="false" outlineLevel="0" collapsed="false">
      <c r="B24" s="12" t="s">
        <v>26</v>
      </c>
      <c r="C24" s="13" t="n">
        <f aca="false">C22*C21/C23</f>
        <v>4.14746543778802</v>
      </c>
      <c r="E24" s="14" t="s">
        <v>27</v>
      </c>
    </row>
    <row r="26" customFormat="false" ht="16.15" hidden="false" customHeight="false" outlineLevel="0" collapsed="false">
      <c r="B26" s="5" t="s">
        <v>28</v>
      </c>
    </row>
    <row r="27" customFormat="false" ht="15" hidden="false" customHeight="false" outlineLevel="0" collapsed="false">
      <c r="B27" s="15" t="s">
        <v>29</v>
      </c>
      <c r="C27" s="11" t="s">
        <v>30</v>
      </c>
      <c r="E27" s="10" t="s">
        <v>31</v>
      </c>
    </row>
    <row r="28" customFormat="false" ht="15" hidden="false" customHeight="false" outlineLevel="0" collapsed="false">
      <c r="B28" s="6" t="s">
        <v>32</v>
      </c>
      <c r="C28" s="6" t="s">
        <v>33</v>
      </c>
      <c r="D28" s="6" t="s">
        <v>34</v>
      </c>
      <c r="E28" s="6" t="s">
        <v>7</v>
      </c>
    </row>
    <row r="29" customFormat="false" ht="15" hidden="false" customHeight="false" outlineLevel="0" collapsed="false">
      <c r="B29" s="7" t="s">
        <v>35</v>
      </c>
      <c r="C29" s="8" t="n">
        <v>1400</v>
      </c>
      <c r="D29" s="8" t="n">
        <v>1500</v>
      </c>
      <c r="E29" s="10" t="s">
        <v>36</v>
      </c>
    </row>
    <row r="30" customFormat="false" ht="15" hidden="false" customHeight="false" outlineLevel="0" collapsed="false">
      <c r="B30" s="7" t="s">
        <v>37</v>
      </c>
      <c r="C30" s="8" t="n">
        <v>2800</v>
      </c>
      <c r="D30" s="8" t="n">
        <v>3200</v>
      </c>
      <c r="E30" s="10" t="s">
        <v>38</v>
      </c>
    </row>
    <row r="31" customFormat="false" ht="15" hidden="false" customHeight="false" outlineLevel="0" collapsed="false">
      <c r="B31" s="7" t="s">
        <v>39</v>
      </c>
      <c r="C31" s="8" t="n">
        <v>600</v>
      </c>
      <c r="D31" s="8" t="n">
        <v>650</v>
      </c>
      <c r="E31" s="10" t="s">
        <v>40</v>
      </c>
    </row>
    <row r="32" customFormat="false" ht="15" hidden="false" customHeight="false" outlineLevel="0" collapsed="false">
      <c r="B32" s="7" t="s">
        <v>41</v>
      </c>
      <c r="C32" s="8" t="n">
        <v>300</v>
      </c>
      <c r="D32" s="8" t="n">
        <v>300</v>
      </c>
      <c r="E32" s="10" t="s">
        <v>42</v>
      </c>
    </row>
    <row r="33" customFormat="false" ht="15" hidden="false" customHeight="false" outlineLevel="0" collapsed="false">
      <c r="B33" s="7" t="s">
        <v>43</v>
      </c>
      <c r="C33" s="8" t="n">
        <v>250</v>
      </c>
      <c r="D33" s="8" t="n">
        <v>280</v>
      </c>
      <c r="E33" s="10" t="s">
        <v>44</v>
      </c>
    </row>
    <row r="34" customFormat="false" ht="15" hidden="false" customHeight="false" outlineLevel="0" collapsed="false">
      <c r="B34" s="7" t="s">
        <v>45</v>
      </c>
      <c r="C34" s="8" t="n">
        <v>400</v>
      </c>
      <c r="D34" s="8" t="n">
        <v>450</v>
      </c>
      <c r="E34" s="10" t="s">
        <v>46</v>
      </c>
    </row>
    <row r="35" customFormat="false" ht="15" hidden="false" customHeight="false" outlineLevel="0" collapsed="false">
      <c r="B35" s="7" t="s">
        <v>47</v>
      </c>
      <c r="C35" s="8" t="n">
        <v>300</v>
      </c>
      <c r="D35" s="8" t="n">
        <v>320</v>
      </c>
      <c r="E35" s="10" t="s">
        <v>48</v>
      </c>
    </row>
    <row r="36" customFormat="false" ht="15" hidden="false" customHeight="false" outlineLevel="0" collapsed="false">
      <c r="B36" s="7" t="s">
        <v>49</v>
      </c>
      <c r="C36" s="8" t="n">
        <v>250</v>
      </c>
      <c r="D36" s="8" t="n">
        <v>270</v>
      </c>
      <c r="E36" s="10" t="s">
        <v>50</v>
      </c>
    </row>
    <row r="37" customFormat="false" ht="15" hidden="false" customHeight="false" outlineLevel="0" collapsed="false">
      <c r="B37" s="12" t="s">
        <v>51</v>
      </c>
      <c r="C37" s="16" t="n">
        <f aca="false">IF(C27="AWS",SUM(C29:C36),SUM(D29:D36))</f>
        <v>6300</v>
      </c>
      <c r="D37" s="17"/>
      <c r="E37" s="17"/>
    </row>
    <row r="39" customFormat="false" ht="16.15" hidden="false" customHeight="false" outlineLevel="0" collapsed="false">
      <c r="B39" s="5" t="s">
        <v>52</v>
      </c>
    </row>
    <row r="40" customFormat="false" ht="15" hidden="false" customHeight="false" outlineLevel="0" collapsed="false">
      <c r="B40" s="7" t="s">
        <v>53</v>
      </c>
      <c r="C40" s="11" t="n">
        <v>1</v>
      </c>
      <c r="D40" s="9"/>
      <c r="E40" s="10" t="s">
        <v>54</v>
      </c>
    </row>
    <row r="41" customFormat="false" ht="15" hidden="false" customHeight="false" outlineLevel="0" collapsed="false">
      <c r="B41" s="7" t="s">
        <v>55</v>
      </c>
      <c r="C41" s="11" t="n">
        <v>4</v>
      </c>
      <c r="D41" s="9"/>
      <c r="E41" s="10" t="s">
        <v>56</v>
      </c>
    </row>
    <row r="42" customFormat="false" ht="15" hidden="false" customHeight="false" outlineLevel="0" collapsed="false">
      <c r="B42" s="7" t="s">
        <v>57</v>
      </c>
      <c r="C42" s="8" t="n">
        <v>35000</v>
      </c>
      <c r="D42" s="9"/>
      <c r="E42" s="10" t="s">
        <v>58</v>
      </c>
    </row>
    <row r="43" customFormat="false" ht="15" hidden="false" customHeight="false" outlineLevel="0" collapsed="false">
      <c r="B43" s="7" t="s">
        <v>59</v>
      </c>
      <c r="C43" s="8" t="n">
        <v>500</v>
      </c>
      <c r="D43" s="9"/>
      <c r="E43" s="10" t="s">
        <v>60</v>
      </c>
    </row>
    <row r="44" customFormat="false" ht="15" hidden="false" customHeight="false" outlineLevel="0" collapsed="false">
      <c r="B44" s="7" t="s">
        <v>61</v>
      </c>
      <c r="C44" s="7" t="n">
        <f aca="false">MAX(0,C41-C40)</f>
        <v>3</v>
      </c>
      <c r="E44" s="10" t="s">
        <v>62</v>
      </c>
    </row>
    <row r="46" customFormat="false" ht="16.15" hidden="false" customHeight="false" outlineLevel="0" collapsed="false">
      <c r="B46" s="5" t="s">
        <v>63</v>
      </c>
    </row>
    <row r="47" customFormat="false" ht="39.75" hidden="false" customHeight="true" outlineLevel="0" collapsed="false">
      <c r="B47" s="18" t="s">
        <v>64</v>
      </c>
      <c r="C47" s="18"/>
      <c r="D47" s="18"/>
      <c r="E47" s="18"/>
    </row>
    <row r="48" customFormat="false" ht="23.85" hidden="false" customHeight="false" outlineLevel="0" collapsed="false">
      <c r="B48" s="6" t="s">
        <v>65</v>
      </c>
      <c r="C48" s="6" t="s">
        <v>66</v>
      </c>
      <c r="E48" s="6" t="s">
        <v>67</v>
      </c>
    </row>
    <row r="49" customFormat="false" ht="15" hidden="false" customHeight="false" outlineLevel="0" collapsed="false">
      <c r="B49" s="7" t="s">
        <v>68</v>
      </c>
      <c r="C49" s="11" t="n">
        <v>7</v>
      </c>
      <c r="D49" s="9"/>
      <c r="E49" s="10" t="s">
        <v>69</v>
      </c>
    </row>
    <row r="50" customFormat="false" ht="15" hidden="false" customHeight="false" outlineLevel="0" collapsed="false">
      <c r="B50" s="7" t="s">
        <v>70</v>
      </c>
      <c r="C50" s="11" t="n">
        <v>2</v>
      </c>
      <c r="D50" s="9"/>
      <c r="E50" s="10" t="s">
        <v>71</v>
      </c>
    </row>
    <row r="51" customFormat="false" ht="15" hidden="false" customHeight="false" outlineLevel="0" collapsed="false">
      <c r="B51" s="7" t="s">
        <v>72</v>
      </c>
      <c r="C51" s="11" t="n">
        <v>9</v>
      </c>
      <c r="D51" s="9"/>
      <c r="E51" s="10" t="s">
        <v>73</v>
      </c>
    </row>
    <row r="52" customFormat="false" ht="15" hidden="false" customHeight="false" outlineLevel="0" collapsed="false">
      <c r="B52" s="7" t="s">
        <v>74</v>
      </c>
      <c r="C52" s="11" t="n">
        <v>37</v>
      </c>
      <c r="D52" s="9"/>
      <c r="E52" s="10" t="s">
        <v>75</v>
      </c>
    </row>
    <row r="53" customFormat="false" ht="15" hidden="false" customHeight="false" outlineLevel="0" collapsed="false">
      <c r="B53" s="12" t="s">
        <v>76</v>
      </c>
      <c r="C53" s="12" t="n">
        <f aca="false">SUM(C49:C52)</f>
        <v>55</v>
      </c>
      <c r="D53" s="17"/>
      <c r="E53" s="14" t="s">
        <v>77</v>
      </c>
    </row>
    <row r="55" customFormat="false" ht="15" hidden="false" customHeight="false" outlineLevel="0" collapsed="false">
      <c r="B55" s="7" t="s">
        <v>78</v>
      </c>
      <c r="C55" s="11" t="n">
        <v>18</v>
      </c>
      <c r="D55" s="9"/>
      <c r="E55" s="10" t="s">
        <v>79</v>
      </c>
    </row>
    <row r="56" customFormat="false" ht="15" hidden="false" customHeight="false" outlineLevel="0" collapsed="false">
      <c r="B56" s="7" t="s">
        <v>80</v>
      </c>
      <c r="C56" s="8" t="n">
        <v>4000</v>
      </c>
      <c r="D56" s="9"/>
      <c r="E56" s="10" t="s">
        <v>81</v>
      </c>
    </row>
    <row r="57" customFormat="false" ht="15" hidden="false" customHeight="false" outlineLevel="0" collapsed="false">
      <c r="B57" s="7" t="s">
        <v>82</v>
      </c>
      <c r="C57" s="8" t="n">
        <v>150</v>
      </c>
      <c r="D57" s="9"/>
      <c r="E57" s="10" t="s">
        <v>83</v>
      </c>
    </row>
    <row r="58" customFormat="false" ht="15" hidden="false" customHeight="false" outlineLevel="0" collapsed="false">
      <c r="B58" s="12" t="s">
        <v>84</v>
      </c>
      <c r="C58" s="16" t="n">
        <f aca="false">C55*C56</f>
        <v>72000</v>
      </c>
      <c r="E58" s="17"/>
    </row>
    <row r="59" customFormat="false" ht="15" hidden="false" customHeight="false" outlineLevel="0" collapsed="false">
      <c r="B59" s="12" t="s">
        <v>85</v>
      </c>
      <c r="C59" s="16" t="n">
        <f aca="false">C55*C57</f>
        <v>2700</v>
      </c>
      <c r="E59" s="17"/>
    </row>
    <row r="61" customFormat="false" ht="16.15" hidden="false" customHeight="false" outlineLevel="0" collapsed="false">
      <c r="B61" s="5" t="s">
        <v>86</v>
      </c>
    </row>
    <row r="62" customFormat="false" ht="15" hidden="false" customHeight="false" outlineLevel="0" collapsed="false">
      <c r="B62" s="7" t="s">
        <v>87</v>
      </c>
      <c r="C62" s="11" t="n">
        <v>3</v>
      </c>
      <c r="D62" s="9"/>
      <c r="E62" s="10" t="s">
        <v>88</v>
      </c>
    </row>
    <row r="63" customFormat="false" ht="15" hidden="false" customHeight="false" outlineLevel="0" collapsed="false">
      <c r="B63" s="7" t="s">
        <v>89</v>
      </c>
      <c r="C63" s="8" t="n">
        <v>20000</v>
      </c>
      <c r="D63" s="9"/>
      <c r="E63" s="10" t="s">
        <v>90</v>
      </c>
    </row>
    <row r="64" customFormat="false" ht="15" hidden="false" customHeight="false" outlineLevel="0" collapsed="false">
      <c r="B64" s="7" t="s">
        <v>91</v>
      </c>
      <c r="C64" s="8" t="n">
        <v>750</v>
      </c>
      <c r="D64" s="9"/>
      <c r="E64" s="10" t="s">
        <v>92</v>
      </c>
    </row>
    <row r="66" customFormat="false" ht="16.15" hidden="false" customHeight="false" outlineLevel="0" collapsed="false">
      <c r="B66" s="5" t="s">
        <v>93</v>
      </c>
    </row>
    <row r="67" customFormat="false" ht="15" hidden="false" customHeight="false" outlineLevel="0" collapsed="false">
      <c r="B67" s="7" t="s">
        <v>94</v>
      </c>
      <c r="C67" s="8" t="n">
        <v>8000</v>
      </c>
      <c r="D67" s="9"/>
      <c r="E67" s="10" t="s">
        <v>95</v>
      </c>
    </row>
    <row r="68" customFormat="false" ht="15" hidden="false" customHeight="false" outlineLevel="0" collapsed="false">
      <c r="B68" s="7" t="s">
        <v>96</v>
      </c>
      <c r="C68" s="11" t="n">
        <v>0</v>
      </c>
      <c r="D68" s="9"/>
      <c r="E68" s="10" t="s">
        <v>97</v>
      </c>
    </row>
    <row r="69" customFormat="false" ht="15" hidden="false" customHeight="false" outlineLevel="0" collapsed="false">
      <c r="B69" s="7" t="s">
        <v>98</v>
      </c>
      <c r="C69" s="8" t="n">
        <v>15000</v>
      </c>
      <c r="D69" s="9"/>
      <c r="E69" s="10" t="s">
        <v>99</v>
      </c>
    </row>
    <row r="71" customFormat="false" ht="16.15" hidden="false" customHeight="false" outlineLevel="0" collapsed="false">
      <c r="B71" s="5" t="s">
        <v>100</v>
      </c>
    </row>
    <row r="72" customFormat="false" ht="15" hidden="false" customHeight="false" outlineLevel="0" collapsed="false">
      <c r="B72" s="6" t="s">
        <v>101</v>
      </c>
      <c r="C72" s="6" t="s">
        <v>102</v>
      </c>
      <c r="E72" s="6" t="s">
        <v>7</v>
      </c>
    </row>
    <row r="73" customFormat="false" ht="15" hidden="false" customHeight="false" outlineLevel="0" collapsed="false">
      <c r="B73" s="7" t="s">
        <v>103</v>
      </c>
      <c r="C73" s="8" t="n">
        <v>60000</v>
      </c>
      <c r="D73" s="9"/>
      <c r="E73" s="10" t="s">
        <v>104</v>
      </c>
    </row>
    <row r="74" customFormat="false" ht="15" hidden="false" customHeight="false" outlineLevel="0" collapsed="false">
      <c r="B74" s="7" t="s">
        <v>105</v>
      </c>
      <c r="C74" s="8" t="n">
        <v>55000</v>
      </c>
      <c r="D74" s="9"/>
      <c r="E74" s="10" t="s">
        <v>104</v>
      </c>
    </row>
    <row r="75" customFormat="false" ht="15" hidden="false" customHeight="false" outlineLevel="0" collapsed="false">
      <c r="B75" s="7" t="s">
        <v>106</v>
      </c>
      <c r="C75" s="8" t="n">
        <v>1500</v>
      </c>
      <c r="D75" s="9"/>
      <c r="E75" s="10" t="s">
        <v>107</v>
      </c>
    </row>
    <row r="76" customFormat="false" ht="15" hidden="false" customHeight="false" outlineLevel="0" collapsed="false">
      <c r="B76" s="7" t="s">
        <v>108</v>
      </c>
      <c r="C76" s="8" t="n">
        <v>2000</v>
      </c>
      <c r="D76" s="9"/>
      <c r="E76" s="10" t="s">
        <v>109</v>
      </c>
    </row>
    <row r="77" customFormat="false" ht="15" hidden="false" customHeight="false" outlineLevel="0" collapsed="false">
      <c r="B77" s="7" t="s">
        <v>110</v>
      </c>
      <c r="C77" s="8" t="n">
        <v>4000</v>
      </c>
      <c r="D77" s="9"/>
      <c r="E77" s="10" t="s">
        <v>111</v>
      </c>
    </row>
    <row r="79" customFormat="false" ht="16.15" hidden="false" customHeight="false" outlineLevel="0" collapsed="false">
      <c r="B79" s="5" t="s">
        <v>112</v>
      </c>
    </row>
    <row r="80" customFormat="false" ht="15" hidden="false" customHeight="false" outlineLevel="0" collapsed="false">
      <c r="B80" s="7" t="s">
        <v>113</v>
      </c>
      <c r="C80" s="8" t="n">
        <v>30000</v>
      </c>
      <c r="D80" s="9"/>
      <c r="E80" s="10" t="s">
        <v>114</v>
      </c>
    </row>
    <row r="81" customFormat="false" ht="15" hidden="false" customHeight="false" outlineLevel="0" collapsed="false">
      <c r="B81" s="7" t="s">
        <v>115</v>
      </c>
      <c r="C81" s="8" t="n">
        <v>5000</v>
      </c>
      <c r="D81" s="9"/>
      <c r="E81" s="10" t="s">
        <v>116</v>
      </c>
    </row>
    <row r="82" customFormat="false" ht="15" hidden="false" customHeight="false" outlineLevel="0" collapsed="false">
      <c r="B82" s="7" t="s">
        <v>117</v>
      </c>
      <c r="C82" s="8" t="n">
        <v>45000</v>
      </c>
      <c r="D82" s="9"/>
      <c r="E82" s="10" t="s">
        <v>118</v>
      </c>
    </row>
    <row r="83" customFormat="false" ht="15" hidden="false" customHeight="false" outlineLevel="0" collapsed="false">
      <c r="B83" s="7" t="s">
        <v>119</v>
      </c>
      <c r="C83" s="8" t="n">
        <v>25000</v>
      </c>
      <c r="D83" s="9"/>
      <c r="E83" s="10" t="s">
        <v>120</v>
      </c>
    </row>
    <row r="84" customFormat="false" ht="15" hidden="false" customHeight="false" outlineLevel="0" collapsed="false">
      <c r="B84" s="7" t="s">
        <v>121</v>
      </c>
      <c r="C84" s="11" t="s">
        <v>122</v>
      </c>
      <c r="E84" s="10" t="s">
        <v>123</v>
      </c>
    </row>
    <row r="85" customFormat="false" ht="15" hidden="false" customHeight="false" outlineLevel="0" collapsed="false">
      <c r="B85" s="7" t="s">
        <v>124</v>
      </c>
      <c r="C85" s="8" t="n">
        <v>120000</v>
      </c>
      <c r="D85" s="9"/>
      <c r="E85" s="10" t="s">
        <v>125</v>
      </c>
    </row>
    <row r="86" customFormat="false" ht="15" hidden="false" customHeight="false" outlineLevel="0" collapsed="false">
      <c r="B86" s="7" t="s">
        <v>126</v>
      </c>
      <c r="C86" s="8" t="n">
        <v>40000</v>
      </c>
      <c r="D86" s="9"/>
      <c r="E86" s="10" t="s">
        <v>125</v>
      </c>
    </row>
    <row r="88" customFormat="false" ht="16.15" hidden="false" customHeight="false" outlineLevel="0" collapsed="false">
      <c r="B88" s="5" t="s">
        <v>127</v>
      </c>
    </row>
    <row r="89" customFormat="false" ht="15" hidden="false" customHeight="false" outlineLevel="0" collapsed="false">
      <c r="B89" s="7" t="s">
        <v>128</v>
      </c>
      <c r="C89" s="8" t="n">
        <v>25000</v>
      </c>
      <c r="D89" s="9"/>
      <c r="E89" s="10" t="s">
        <v>129</v>
      </c>
    </row>
    <row r="90" customFormat="false" ht="15" hidden="false" customHeight="false" outlineLevel="0" collapsed="false">
      <c r="B90" s="7" t="s">
        <v>130</v>
      </c>
      <c r="C90" s="8" t="n">
        <v>8000</v>
      </c>
      <c r="D90" s="9"/>
      <c r="E90" s="10" t="s">
        <v>131</v>
      </c>
    </row>
    <row r="91" customFormat="false" ht="15" hidden="false" customHeight="false" outlineLevel="0" collapsed="false">
      <c r="B91" s="12" t="s">
        <v>132</v>
      </c>
      <c r="C91" s="16" t="n">
        <f aca="false">SUM(C89:C90)</f>
        <v>33000</v>
      </c>
      <c r="E91" s="17"/>
    </row>
    <row r="93" customFormat="false" ht="15" hidden="false" customHeight="false" outlineLevel="0" collapsed="false">
      <c r="B93" s="7" t="s">
        <v>133</v>
      </c>
      <c r="C93" s="19" t="n">
        <v>0.15</v>
      </c>
      <c r="D93" s="9"/>
      <c r="E93" s="10" t="s">
        <v>134</v>
      </c>
    </row>
    <row r="95" customFormat="false" ht="16.15" hidden="false" customHeight="false" outlineLevel="0" collapsed="false">
      <c r="B95" s="5" t="s">
        <v>135</v>
      </c>
    </row>
    <row r="96" customFormat="false" ht="15" hidden="false" customHeight="false" outlineLevel="0" collapsed="false">
      <c r="B96" s="7" t="s">
        <v>136</v>
      </c>
      <c r="C96" s="20" t="n">
        <v>0.5</v>
      </c>
      <c r="D96" s="9"/>
      <c r="E96" s="10" t="s">
        <v>137</v>
      </c>
    </row>
    <row r="97" customFormat="false" ht="15" hidden="false" customHeight="false" outlineLevel="0" collapsed="false">
      <c r="B97" s="7" t="s">
        <v>138</v>
      </c>
      <c r="C97" s="20" t="n">
        <v>0.25</v>
      </c>
      <c r="D97" s="9"/>
      <c r="E97" s="10" t="s">
        <v>139</v>
      </c>
    </row>
    <row r="98" customFormat="false" ht="15" hidden="false" customHeight="false" outlineLevel="0" collapsed="false">
      <c r="B98" s="7" t="s">
        <v>140</v>
      </c>
      <c r="C98" s="21" t="n">
        <v>1.2</v>
      </c>
      <c r="D98" s="9"/>
      <c r="E98" s="10" t="s">
        <v>141</v>
      </c>
    </row>
    <row r="100" customFormat="false" ht="16.15" hidden="false" customHeight="false" outlineLevel="0" collapsed="false">
      <c r="B100" s="5" t="s">
        <v>142</v>
      </c>
    </row>
    <row r="101" customFormat="false" ht="39.75" hidden="false" customHeight="true" outlineLevel="0" collapsed="false">
      <c r="B101" s="18" t="s">
        <v>143</v>
      </c>
      <c r="C101" s="18"/>
      <c r="D101" s="18"/>
      <c r="E101" s="18"/>
    </row>
    <row r="102" customFormat="false" ht="15" hidden="false" customHeight="false" outlineLevel="0" collapsed="false">
      <c r="B102" s="7" t="s">
        <v>144</v>
      </c>
      <c r="C102" s="11" t="n">
        <v>150</v>
      </c>
      <c r="D102" s="9"/>
      <c r="E102" s="10" t="s">
        <v>145</v>
      </c>
    </row>
    <row r="103" customFormat="false" ht="15" hidden="false" customHeight="false" outlineLevel="0" collapsed="false">
      <c r="B103" s="12" t="s">
        <v>146</v>
      </c>
      <c r="C103" s="12" t="n">
        <f aca="false">Assumptions!C62*C102</f>
        <v>450</v>
      </c>
      <c r="E103" s="14" t="s">
        <v>147</v>
      </c>
    </row>
    <row r="104" customFormat="false" ht="15" hidden="false" customHeight="false" outlineLevel="0" collapsed="false">
      <c r="B104" s="7" t="s">
        <v>148</v>
      </c>
      <c r="C104" s="11" t="n">
        <v>30</v>
      </c>
      <c r="D104" s="9"/>
      <c r="E104" s="10" t="s">
        <v>149</v>
      </c>
    </row>
    <row r="105" customFormat="false" ht="15" hidden="false" customHeight="false" outlineLevel="0" collapsed="false">
      <c r="B105" s="12" t="s">
        <v>150</v>
      </c>
      <c r="C105" s="12" t="n">
        <f aca="false">Assumptions!C62*C104</f>
        <v>90</v>
      </c>
      <c r="E105" s="14" t="s">
        <v>151</v>
      </c>
    </row>
    <row r="106" customFormat="false" ht="15" hidden="false" customHeight="false" outlineLevel="0" collapsed="false">
      <c r="B106" s="7" t="s">
        <v>152</v>
      </c>
      <c r="C106" s="11" t="n">
        <v>8</v>
      </c>
      <c r="D106" s="9"/>
      <c r="E106" s="10" t="s">
        <v>153</v>
      </c>
    </row>
    <row r="107" customFormat="false" ht="15" hidden="false" customHeight="false" outlineLevel="0" collapsed="false">
      <c r="B107" s="7" t="s">
        <v>154</v>
      </c>
      <c r="C107" s="11" t="n">
        <v>2</v>
      </c>
      <c r="D107" s="9"/>
      <c r="E107" s="10" t="s">
        <v>155</v>
      </c>
    </row>
    <row r="108" customFormat="false" ht="15" hidden="false" customHeight="false" outlineLevel="0" collapsed="false">
      <c r="B108" s="7" t="s">
        <v>156</v>
      </c>
      <c r="C108" s="11" t="n">
        <v>1</v>
      </c>
      <c r="D108" s="9"/>
      <c r="E108" s="10" t="s">
        <v>157</v>
      </c>
    </row>
    <row r="109" customFormat="false" ht="15" hidden="false" customHeight="false" outlineLevel="0" collapsed="false">
      <c r="B109" s="12" t="s">
        <v>158</v>
      </c>
      <c r="C109" s="22" t="n">
        <f aca="false">C18/C106</f>
        <v>118.75</v>
      </c>
      <c r="E109" s="14" t="s">
        <v>159</v>
      </c>
    </row>
    <row r="110" customFormat="false" ht="15" hidden="false" customHeight="false" outlineLevel="0" collapsed="false">
      <c r="B110" s="7" t="s">
        <v>160</v>
      </c>
      <c r="C110" s="23" t="n">
        <f aca="false">C109*C107</f>
        <v>237.5</v>
      </c>
      <c r="E110" s="10" t="s">
        <v>161</v>
      </c>
    </row>
    <row r="111" customFormat="false" ht="15" hidden="false" customHeight="false" outlineLevel="0" collapsed="false">
      <c r="B111" s="7" t="s">
        <v>162</v>
      </c>
      <c r="C111" s="23" t="n">
        <f aca="false">C109*C108</f>
        <v>118.75</v>
      </c>
      <c r="E111" s="10" t="s">
        <v>163</v>
      </c>
    </row>
    <row r="112" customFormat="false" ht="15" hidden="false" customHeight="false" outlineLevel="0" collapsed="false">
      <c r="B112" s="12" t="s">
        <v>164</v>
      </c>
      <c r="C112" s="16" t="n">
        <f aca="false">C103*C110</f>
        <v>106875</v>
      </c>
      <c r="E112" s="17"/>
    </row>
    <row r="113" customFormat="false" ht="15" hidden="false" customHeight="false" outlineLevel="0" collapsed="false">
      <c r="B113" s="12" t="s">
        <v>165</v>
      </c>
      <c r="C113" s="16" t="n">
        <f aca="false">C105*C111</f>
        <v>10687.5</v>
      </c>
      <c r="E113" s="17"/>
    </row>
    <row r="114" customFormat="false" ht="15" hidden="false" customHeight="false" outlineLevel="0" collapsed="false">
      <c r="B114" s="7" t="s">
        <v>166</v>
      </c>
      <c r="C114" s="24" t="n">
        <f aca="false">(C103*C107)/(Assumptions!C22*Assumptions!C21*C106)</f>
        <v>1.25</v>
      </c>
      <c r="E114" s="10" t="s">
        <v>167</v>
      </c>
    </row>
  </sheetData>
  <mergeCells count="3">
    <mergeCell ref="B5:E5"/>
    <mergeCell ref="B47:E47"/>
    <mergeCell ref="B101:E101"/>
  </mergeCells>
  <dataValidations count="2">
    <dataValidation allowBlank="false" errorStyle="stop" operator="between" showDropDown="false" showErrorMessage="false" showInputMessage="false" sqref="C27" type="list">
      <formula1>"AWS,Azure"</formula1>
      <formula2>0</formula2>
    </dataValidation>
    <dataValidation allowBlank="false" errorStyle="stop" operator="between" showDropDown="false" showErrorMessage="false" showInputMessage="false" sqref="C8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23.85" hidden="false" customHeight="false" outlineLevel="0" collapsed="false">
      <c r="A1" s="25" t="s">
        <v>168</v>
      </c>
      <c r="B1" s="25" t="s">
        <v>169</v>
      </c>
      <c r="C1" s="25" t="s">
        <v>170</v>
      </c>
      <c r="D1" s="25" t="s">
        <v>171</v>
      </c>
      <c r="E1" s="25" t="s">
        <v>172</v>
      </c>
      <c r="F1" s="25" t="s">
        <v>6</v>
      </c>
      <c r="G1" s="25" t="s">
        <v>173</v>
      </c>
    </row>
    <row r="2" customFormat="false" ht="15" hidden="false" customHeight="false" outlineLevel="0" collapsed="false">
      <c r="A2" s="26" t="s">
        <v>174</v>
      </c>
      <c r="B2" s="27" t="s">
        <v>175</v>
      </c>
      <c r="C2" s="28" t="s">
        <v>176</v>
      </c>
      <c r="D2" s="26" t="s">
        <v>8</v>
      </c>
      <c r="E2" s="26" t="n">
        <v>3</v>
      </c>
      <c r="F2" s="29" t="n">
        <f aca="false">INDEX(Assumptions!$C$9:$C$18,MATCH(D2,Assumptions!$B$9:$B$18,0))</f>
        <v>1450</v>
      </c>
      <c r="G2" s="29" t="n">
        <f aca="false">E2*F2</f>
        <v>4350</v>
      </c>
    </row>
    <row r="3" customFormat="false" ht="15" hidden="false" customHeight="false" outlineLevel="0" collapsed="false">
      <c r="A3" s="26" t="s">
        <v>177</v>
      </c>
      <c r="B3" s="27" t="s">
        <v>175</v>
      </c>
      <c r="C3" s="28" t="s">
        <v>178</v>
      </c>
      <c r="D3" s="26" t="s">
        <v>8</v>
      </c>
      <c r="E3" s="26" t="n">
        <v>0.5</v>
      </c>
      <c r="F3" s="29" t="n">
        <f aca="false">INDEX(Assumptions!$C$9:$C$18,MATCH(D3,Assumptions!$B$9:$B$18,0))</f>
        <v>1450</v>
      </c>
      <c r="G3" s="29" t="n">
        <f aca="false">E3*F3</f>
        <v>725</v>
      </c>
    </row>
    <row r="4" customFormat="false" ht="15" hidden="false" customHeight="false" outlineLevel="0" collapsed="false">
      <c r="A4" s="26" t="s">
        <v>179</v>
      </c>
      <c r="B4" s="27" t="s">
        <v>175</v>
      </c>
      <c r="C4" s="28" t="s">
        <v>180</v>
      </c>
      <c r="D4" s="26" t="s">
        <v>12</v>
      </c>
      <c r="E4" s="26" t="n">
        <v>5</v>
      </c>
      <c r="F4" s="29" t="n">
        <f aca="false">INDEX(Assumptions!$C$9:$C$18,MATCH(D4,Assumptions!$B$9:$B$18,0))</f>
        <v>1100</v>
      </c>
      <c r="G4" s="29" t="n">
        <f aca="false">E4*F4</f>
        <v>5500</v>
      </c>
    </row>
    <row r="5" customFormat="false" ht="15" hidden="false" customHeight="false" outlineLevel="0" collapsed="false">
      <c r="A5" s="26" t="s">
        <v>181</v>
      </c>
      <c r="B5" s="27" t="s">
        <v>175</v>
      </c>
      <c r="C5" s="28" t="s">
        <v>182</v>
      </c>
      <c r="D5" s="26" t="s">
        <v>16</v>
      </c>
      <c r="E5" s="26" t="n">
        <v>3</v>
      </c>
      <c r="F5" s="29" t="n">
        <f aca="false">INDEX(Assumptions!$C$9:$C$18,MATCH(D5,Assumptions!$B$9:$B$18,0))</f>
        <v>1300</v>
      </c>
      <c r="G5" s="29" t="n">
        <f aca="false">E5*F5</f>
        <v>3900</v>
      </c>
    </row>
    <row r="6" customFormat="false" ht="15" hidden="false" customHeight="false" outlineLevel="0" collapsed="false">
      <c r="A6" s="26" t="s">
        <v>183</v>
      </c>
      <c r="B6" s="27" t="s">
        <v>175</v>
      </c>
      <c r="C6" s="28" t="s">
        <v>184</v>
      </c>
      <c r="D6" s="26" t="s">
        <v>10</v>
      </c>
      <c r="E6" s="26" t="n">
        <v>3</v>
      </c>
      <c r="F6" s="29" t="n">
        <f aca="false">INDEX(Assumptions!$C$9:$C$18,MATCH(D6,Assumptions!$B$9:$B$18,0))</f>
        <v>1100</v>
      </c>
      <c r="G6" s="29" t="n">
        <f aca="false">E6*F6</f>
        <v>3300</v>
      </c>
    </row>
    <row r="7" customFormat="false" ht="15" hidden="false" customHeight="false" outlineLevel="0" collapsed="false">
      <c r="A7" s="26" t="s">
        <v>185</v>
      </c>
      <c r="B7" s="27" t="s">
        <v>175</v>
      </c>
      <c r="C7" s="28" t="s">
        <v>186</v>
      </c>
      <c r="D7" s="26" t="s">
        <v>8</v>
      </c>
      <c r="E7" s="26" t="n">
        <v>2</v>
      </c>
      <c r="F7" s="29" t="n">
        <f aca="false">INDEX(Assumptions!$C$9:$C$18,MATCH(D7,Assumptions!$B$9:$B$18,0))</f>
        <v>1450</v>
      </c>
      <c r="G7" s="29" t="n">
        <f aca="false">E7*F7</f>
        <v>2900</v>
      </c>
    </row>
    <row r="8" customFormat="false" ht="15" hidden="false" customHeight="false" outlineLevel="0" collapsed="false">
      <c r="A8" s="26" t="s">
        <v>187</v>
      </c>
      <c r="B8" s="27" t="s">
        <v>175</v>
      </c>
      <c r="C8" s="28" t="s">
        <v>188</v>
      </c>
      <c r="D8" s="26" t="s">
        <v>16</v>
      </c>
      <c r="E8" s="26" t="n">
        <v>2</v>
      </c>
      <c r="F8" s="29" t="n">
        <f aca="false">INDEX(Assumptions!$C$9:$C$18,MATCH(D8,Assumptions!$B$9:$B$18,0))</f>
        <v>1300</v>
      </c>
      <c r="G8" s="29" t="n">
        <f aca="false">E8*F8</f>
        <v>2600</v>
      </c>
    </row>
    <row r="9" customFormat="false" ht="15" hidden="false" customHeight="false" outlineLevel="0" collapsed="false">
      <c r="A9" s="26" t="s">
        <v>189</v>
      </c>
      <c r="B9" s="30" t="s">
        <v>190</v>
      </c>
      <c r="C9" s="28" t="s">
        <v>191</v>
      </c>
      <c r="D9" s="26" t="s">
        <v>10</v>
      </c>
      <c r="E9" s="26" t="n">
        <v>5</v>
      </c>
      <c r="F9" s="29" t="n">
        <f aca="false">INDEX(Assumptions!$C$9:$C$18,MATCH(D9,Assumptions!$B$9:$B$18,0))</f>
        <v>1100</v>
      </c>
      <c r="G9" s="29" t="n">
        <f aca="false">E9*F9</f>
        <v>5500</v>
      </c>
    </row>
    <row r="10" customFormat="false" ht="15" hidden="false" customHeight="false" outlineLevel="0" collapsed="false">
      <c r="A10" s="26" t="s">
        <v>192</v>
      </c>
      <c r="B10" s="30" t="s">
        <v>190</v>
      </c>
      <c r="C10" s="28" t="s">
        <v>193</v>
      </c>
      <c r="D10" s="26" t="s">
        <v>10</v>
      </c>
      <c r="E10" s="26" t="n">
        <v>5</v>
      </c>
      <c r="F10" s="29" t="n">
        <f aca="false">INDEX(Assumptions!$C$9:$C$18,MATCH(D10,Assumptions!$B$9:$B$18,0))</f>
        <v>1100</v>
      </c>
      <c r="G10" s="29" t="n">
        <f aca="false">E10*F10</f>
        <v>5500</v>
      </c>
    </row>
    <row r="11" customFormat="false" ht="15" hidden="false" customHeight="false" outlineLevel="0" collapsed="false">
      <c r="A11" s="26" t="s">
        <v>194</v>
      </c>
      <c r="B11" s="30" t="s">
        <v>190</v>
      </c>
      <c r="C11" s="28" t="s">
        <v>195</v>
      </c>
      <c r="D11" s="26" t="s">
        <v>11</v>
      </c>
      <c r="E11" s="26" t="n">
        <v>4</v>
      </c>
      <c r="F11" s="29" t="n">
        <f aca="false">INDEX(Assumptions!$C$9:$C$18,MATCH(D11,Assumptions!$B$9:$B$18,0))</f>
        <v>1100</v>
      </c>
      <c r="G11" s="29" t="n">
        <f aca="false">E11*F11</f>
        <v>4400</v>
      </c>
    </row>
    <row r="12" customFormat="false" ht="15" hidden="false" customHeight="false" outlineLevel="0" collapsed="false">
      <c r="A12" s="26" t="s">
        <v>196</v>
      </c>
      <c r="B12" s="30" t="s">
        <v>190</v>
      </c>
      <c r="C12" s="28" t="s">
        <v>197</v>
      </c>
      <c r="D12" s="26" t="s">
        <v>11</v>
      </c>
      <c r="E12" s="26" t="n">
        <v>4</v>
      </c>
      <c r="F12" s="29" t="n">
        <f aca="false">INDEX(Assumptions!$C$9:$C$18,MATCH(D12,Assumptions!$B$9:$B$18,0))</f>
        <v>1100</v>
      </c>
      <c r="G12" s="29" t="n">
        <f aca="false">E12*F12</f>
        <v>4400</v>
      </c>
    </row>
    <row r="13" customFormat="false" ht="15" hidden="false" customHeight="false" outlineLevel="0" collapsed="false">
      <c r="A13" s="26" t="s">
        <v>198</v>
      </c>
      <c r="B13" s="30" t="s">
        <v>190</v>
      </c>
      <c r="C13" s="28" t="s">
        <v>199</v>
      </c>
      <c r="D13" s="26" t="s">
        <v>11</v>
      </c>
      <c r="E13" s="26" t="n">
        <v>4</v>
      </c>
      <c r="F13" s="29" t="n">
        <f aca="false">INDEX(Assumptions!$C$9:$C$18,MATCH(D13,Assumptions!$B$9:$B$18,0))</f>
        <v>1100</v>
      </c>
      <c r="G13" s="29" t="n">
        <f aca="false">E13*F13</f>
        <v>4400</v>
      </c>
    </row>
    <row r="14" customFormat="false" ht="15" hidden="false" customHeight="false" outlineLevel="0" collapsed="false">
      <c r="A14" s="26" t="s">
        <v>200</v>
      </c>
      <c r="B14" s="30" t="s">
        <v>190</v>
      </c>
      <c r="C14" s="28" t="s">
        <v>201</v>
      </c>
      <c r="D14" s="26" t="s">
        <v>10</v>
      </c>
      <c r="E14" s="26" t="n">
        <v>4</v>
      </c>
      <c r="F14" s="29" t="n">
        <f aca="false">INDEX(Assumptions!$C$9:$C$18,MATCH(D14,Assumptions!$B$9:$B$18,0))</f>
        <v>1100</v>
      </c>
      <c r="G14" s="29" t="n">
        <f aca="false">E14*F14</f>
        <v>4400</v>
      </c>
    </row>
    <row r="15" customFormat="false" ht="15" hidden="false" customHeight="false" outlineLevel="0" collapsed="false">
      <c r="A15" s="26" t="s">
        <v>202</v>
      </c>
      <c r="B15" s="30" t="s">
        <v>190</v>
      </c>
      <c r="C15" s="28" t="s">
        <v>203</v>
      </c>
      <c r="D15" s="26" t="s">
        <v>10</v>
      </c>
      <c r="E15" s="26" t="n">
        <v>3</v>
      </c>
      <c r="F15" s="29" t="n">
        <f aca="false">INDEX(Assumptions!$C$9:$C$18,MATCH(D15,Assumptions!$B$9:$B$18,0))</f>
        <v>1100</v>
      </c>
      <c r="G15" s="29" t="n">
        <f aca="false">E15*F15</f>
        <v>3300</v>
      </c>
    </row>
    <row r="16" customFormat="false" ht="15" hidden="false" customHeight="false" outlineLevel="0" collapsed="false">
      <c r="A16" s="26" t="s">
        <v>204</v>
      </c>
      <c r="B16" s="30" t="s">
        <v>190</v>
      </c>
      <c r="C16" s="28" t="s">
        <v>205</v>
      </c>
      <c r="D16" s="26" t="s">
        <v>13</v>
      </c>
      <c r="E16" s="26" t="n">
        <v>5</v>
      </c>
      <c r="F16" s="29" t="n">
        <f aca="false">INDEX(Assumptions!$C$9:$C$18,MATCH(D16,Assumptions!$B$9:$B$18,0))</f>
        <v>1000</v>
      </c>
      <c r="G16" s="29" t="n">
        <f aca="false">E16*F16</f>
        <v>5000</v>
      </c>
    </row>
    <row r="17" customFormat="false" ht="15" hidden="false" customHeight="false" outlineLevel="0" collapsed="false">
      <c r="A17" s="26" t="s">
        <v>206</v>
      </c>
      <c r="B17" s="30" t="s">
        <v>190</v>
      </c>
      <c r="C17" s="28" t="s">
        <v>207</v>
      </c>
      <c r="D17" s="26" t="s">
        <v>10</v>
      </c>
      <c r="E17" s="26" t="n">
        <v>2</v>
      </c>
      <c r="F17" s="29" t="n">
        <f aca="false">INDEX(Assumptions!$C$9:$C$18,MATCH(D17,Assumptions!$B$9:$B$18,0))</f>
        <v>1100</v>
      </c>
      <c r="G17" s="29" t="n">
        <f aca="false">E17*F17</f>
        <v>2200</v>
      </c>
    </row>
    <row r="18" customFormat="false" ht="15" hidden="false" customHeight="false" outlineLevel="0" collapsed="false">
      <c r="A18" s="26" t="s">
        <v>208</v>
      </c>
      <c r="B18" s="30" t="s">
        <v>190</v>
      </c>
      <c r="C18" s="28" t="s">
        <v>209</v>
      </c>
      <c r="D18" s="26" t="s">
        <v>14</v>
      </c>
      <c r="E18" s="26" t="n">
        <v>4</v>
      </c>
      <c r="F18" s="29" t="n">
        <f aca="false">INDEX(Assumptions!$C$9:$C$18,MATCH(D18,Assumptions!$B$9:$B$18,0))</f>
        <v>900</v>
      </c>
      <c r="G18" s="29" t="n">
        <f aca="false">E18*F18</f>
        <v>3600</v>
      </c>
    </row>
    <row r="19" customFormat="false" ht="15" hidden="false" customHeight="false" outlineLevel="0" collapsed="false">
      <c r="A19" s="26" t="s">
        <v>210</v>
      </c>
      <c r="B19" s="30" t="s">
        <v>190</v>
      </c>
      <c r="C19" s="28" t="s">
        <v>211</v>
      </c>
      <c r="D19" s="26" t="s">
        <v>17</v>
      </c>
      <c r="E19" s="26" t="n">
        <v>1</v>
      </c>
      <c r="F19" s="29" t="n">
        <f aca="false">INDEX(Assumptions!$C$9:$C$18,MATCH(D19,Assumptions!$B$9:$B$18,0))</f>
        <v>1050</v>
      </c>
      <c r="G19" s="29" t="n">
        <f aca="false">E19*F19</f>
        <v>1050</v>
      </c>
    </row>
    <row r="20" customFormat="false" ht="15" hidden="false" customHeight="false" outlineLevel="0" collapsed="false">
      <c r="A20" s="26" t="s">
        <v>212</v>
      </c>
      <c r="B20" s="31" t="s">
        <v>213</v>
      </c>
      <c r="C20" s="28" t="s">
        <v>214</v>
      </c>
      <c r="D20" s="26" t="s">
        <v>12</v>
      </c>
      <c r="E20" s="26" t="n">
        <v>3</v>
      </c>
      <c r="F20" s="29" t="n">
        <f aca="false">INDEX(Assumptions!$C$9:$C$18,MATCH(D20,Assumptions!$B$9:$B$18,0))</f>
        <v>1100</v>
      </c>
      <c r="G20" s="29" t="n">
        <f aca="false">E20*F20</f>
        <v>3300</v>
      </c>
    </row>
    <row r="21" customFormat="false" ht="15" hidden="false" customHeight="false" outlineLevel="0" collapsed="false">
      <c r="A21" s="26" t="s">
        <v>215</v>
      </c>
      <c r="B21" s="31" t="s">
        <v>213</v>
      </c>
      <c r="C21" s="28" t="s">
        <v>216</v>
      </c>
      <c r="D21" s="26" t="s">
        <v>11</v>
      </c>
      <c r="E21" s="26" t="n">
        <v>5</v>
      </c>
      <c r="F21" s="29" t="n">
        <f aca="false">INDEX(Assumptions!$C$9:$C$18,MATCH(D21,Assumptions!$B$9:$B$18,0))</f>
        <v>1100</v>
      </c>
      <c r="G21" s="29" t="n">
        <f aca="false">E21*F21</f>
        <v>5500</v>
      </c>
    </row>
    <row r="22" customFormat="false" ht="15" hidden="false" customHeight="false" outlineLevel="0" collapsed="false">
      <c r="A22" s="26" t="s">
        <v>217</v>
      </c>
      <c r="B22" s="31" t="s">
        <v>213</v>
      </c>
      <c r="C22" s="28" t="s">
        <v>218</v>
      </c>
      <c r="D22" s="26" t="s">
        <v>11</v>
      </c>
      <c r="E22" s="26" t="n">
        <v>5</v>
      </c>
      <c r="F22" s="29" t="n">
        <f aca="false">INDEX(Assumptions!$C$9:$C$18,MATCH(D22,Assumptions!$B$9:$B$18,0))</f>
        <v>1100</v>
      </c>
      <c r="G22" s="29" t="n">
        <f aca="false">E22*F22</f>
        <v>5500</v>
      </c>
    </row>
    <row r="23" customFormat="false" ht="15" hidden="false" customHeight="false" outlineLevel="0" collapsed="false">
      <c r="A23" s="26" t="s">
        <v>219</v>
      </c>
      <c r="B23" s="31" t="s">
        <v>213</v>
      </c>
      <c r="C23" s="28" t="s">
        <v>220</v>
      </c>
      <c r="D23" s="26" t="s">
        <v>12</v>
      </c>
      <c r="E23" s="26" t="n">
        <v>5</v>
      </c>
      <c r="F23" s="29" t="n">
        <f aca="false">INDEX(Assumptions!$C$9:$C$18,MATCH(D23,Assumptions!$B$9:$B$18,0))</f>
        <v>1100</v>
      </c>
      <c r="G23" s="29" t="n">
        <f aca="false">E23*F23</f>
        <v>5500</v>
      </c>
    </row>
    <row r="24" customFormat="false" ht="15" hidden="false" customHeight="false" outlineLevel="0" collapsed="false">
      <c r="A24" s="26" t="s">
        <v>221</v>
      </c>
      <c r="B24" s="31" t="s">
        <v>213</v>
      </c>
      <c r="C24" s="28" t="s">
        <v>222</v>
      </c>
      <c r="D24" s="26" t="s">
        <v>10</v>
      </c>
      <c r="E24" s="26" t="n">
        <v>5</v>
      </c>
      <c r="F24" s="29" t="n">
        <f aca="false">INDEX(Assumptions!$C$9:$C$18,MATCH(D24,Assumptions!$B$9:$B$18,0))</f>
        <v>1100</v>
      </c>
      <c r="G24" s="29" t="n">
        <f aca="false">E24*F24</f>
        <v>5500</v>
      </c>
    </row>
    <row r="25" customFormat="false" ht="15" hidden="false" customHeight="false" outlineLevel="0" collapsed="false">
      <c r="A25" s="26" t="s">
        <v>223</v>
      </c>
      <c r="B25" s="31" t="s">
        <v>213</v>
      </c>
      <c r="C25" s="28" t="s">
        <v>224</v>
      </c>
      <c r="D25" s="26" t="s">
        <v>13</v>
      </c>
      <c r="E25" s="26" t="n">
        <v>4</v>
      </c>
      <c r="F25" s="29" t="n">
        <f aca="false">INDEX(Assumptions!$C$9:$C$18,MATCH(D25,Assumptions!$B$9:$B$18,0))</f>
        <v>1000</v>
      </c>
      <c r="G25" s="29" t="n">
        <f aca="false">E25*F25</f>
        <v>4000</v>
      </c>
    </row>
    <row r="26" customFormat="false" ht="15" hidden="false" customHeight="false" outlineLevel="0" collapsed="false">
      <c r="A26" s="26" t="s">
        <v>225</v>
      </c>
      <c r="B26" s="31" t="s">
        <v>213</v>
      </c>
      <c r="C26" s="28" t="s">
        <v>226</v>
      </c>
      <c r="D26" s="26" t="s">
        <v>10</v>
      </c>
      <c r="E26" s="26" t="n">
        <v>6</v>
      </c>
      <c r="F26" s="29" t="n">
        <f aca="false">INDEX(Assumptions!$C$9:$C$18,MATCH(D26,Assumptions!$B$9:$B$18,0))</f>
        <v>1100</v>
      </c>
      <c r="G26" s="29" t="n">
        <f aca="false">E26*F26</f>
        <v>6600</v>
      </c>
    </row>
    <row r="27" customFormat="false" ht="15" hidden="false" customHeight="false" outlineLevel="0" collapsed="false">
      <c r="A27" s="26" t="s">
        <v>227</v>
      </c>
      <c r="B27" s="31" t="s">
        <v>213</v>
      </c>
      <c r="C27" s="28" t="s">
        <v>228</v>
      </c>
      <c r="D27" s="26" t="s">
        <v>13</v>
      </c>
      <c r="E27" s="26" t="n">
        <v>6</v>
      </c>
      <c r="F27" s="29" t="n">
        <f aca="false">INDEX(Assumptions!$C$9:$C$18,MATCH(D27,Assumptions!$B$9:$B$18,0))</f>
        <v>1000</v>
      </c>
      <c r="G27" s="29" t="n">
        <f aca="false">E27*F27</f>
        <v>6000</v>
      </c>
    </row>
    <row r="28" customFormat="false" ht="15" hidden="false" customHeight="false" outlineLevel="0" collapsed="false">
      <c r="A28" s="26" t="s">
        <v>229</v>
      </c>
      <c r="B28" s="31" t="s">
        <v>213</v>
      </c>
      <c r="C28" s="28" t="s">
        <v>230</v>
      </c>
      <c r="D28" s="26" t="s">
        <v>11</v>
      </c>
      <c r="E28" s="26" t="n">
        <v>5</v>
      </c>
      <c r="F28" s="29" t="n">
        <f aca="false">INDEX(Assumptions!$C$9:$C$18,MATCH(D28,Assumptions!$B$9:$B$18,0))</f>
        <v>1100</v>
      </c>
      <c r="G28" s="29" t="n">
        <f aca="false">E28*F28</f>
        <v>5500</v>
      </c>
    </row>
    <row r="29" customFormat="false" ht="15" hidden="false" customHeight="false" outlineLevel="0" collapsed="false">
      <c r="A29" s="26" t="s">
        <v>231</v>
      </c>
      <c r="B29" s="31" t="s">
        <v>213</v>
      </c>
      <c r="C29" s="28" t="s">
        <v>232</v>
      </c>
      <c r="D29" s="26" t="s">
        <v>10</v>
      </c>
      <c r="E29" s="26" t="n">
        <v>2</v>
      </c>
      <c r="F29" s="29" t="n">
        <f aca="false">INDEX(Assumptions!$C$9:$C$18,MATCH(D29,Assumptions!$B$9:$B$18,0))</f>
        <v>1100</v>
      </c>
      <c r="G29" s="29" t="n">
        <f aca="false">E29*F29</f>
        <v>2200</v>
      </c>
    </row>
    <row r="30" customFormat="false" ht="15" hidden="false" customHeight="false" outlineLevel="0" collapsed="false">
      <c r="A30" s="26" t="s">
        <v>233</v>
      </c>
      <c r="B30" s="31" t="s">
        <v>213</v>
      </c>
      <c r="C30" s="28" t="s">
        <v>234</v>
      </c>
      <c r="D30" s="26" t="s">
        <v>14</v>
      </c>
      <c r="E30" s="26" t="n">
        <v>5</v>
      </c>
      <c r="F30" s="29" t="n">
        <f aca="false">INDEX(Assumptions!$C$9:$C$18,MATCH(D30,Assumptions!$B$9:$B$18,0))</f>
        <v>900</v>
      </c>
      <c r="G30" s="29" t="n">
        <f aca="false">E30*F30</f>
        <v>4500</v>
      </c>
    </row>
    <row r="31" customFormat="false" ht="15" hidden="false" customHeight="false" outlineLevel="0" collapsed="false">
      <c r="A31" s="26" t="s">
        <v>235</v>
      </c>
      <c r="B31" s="31" t="s">
        <v>213</v>
      </c>
      <c r="C31" s="28" t="s">
        <v>236</v>
      </c>
      <c r="D31" s="26" t="s">
        <v>17</v>
      </c>
      <c r="E31" s="26" t="n">
        <v>1</v>
      </c>
      <c r="F31" s="29" t="n">
        <f aca="false">INDEX(Assumptions!$C$9:$C$18,MATCH(D31,Assumptions!$B$9:$B$18,0))</f>
        <v>1050</v>
      </c>
      <c r="G31" s="29" t="n">
        <f aca="false">E31*F31</f>
        <v>1050</v>
      </c>
    </row>
    <row r="32" customFormat="false" ht="15" hidden="false" customHeight="false" outlineLevel="0" collapsed="false">
      <c r="A32" s="26" t="s">
        <v>237</v>
      </c>
      <c r="B32" s="32" t="s">
        <v>238</v>
      </c>
      <c r="C32" s="28" t="s">
        <v>239</v>
      </c>
      <c r="D32" s="26" t="s">
        <v>10</v>
      </c>
      <c r="E32" s="26" t="n">
        <v>4</v>
      </c>
      <c r="F32" s="29" t="n">
        <f aca="false">INDEX(Assumptions!$C$9:$C$18,MATCH(D32,Assumptions!$B$9:$B$18,0))</f>
        <v>1100</v>
      </c>
      <c r="G32" s="29" t="n">
        <f aca="false">E32*F32</f>
        <v>4400</v>
      </c>
    </row>
    <row r="33" customFormat="false" ht="15" hidden="false" customHeight="false" outlineLevel="0" collapsed="false">
      <c r="A33" s="26" t="s">
        <v>240</v>
      </c>
      <c r="B33" s="32" t="s">
        <v>238</v>
      </c>
      <c r="C33" s="28" t="s">
        <v>241</v>
      </c>
      <c r="D33" s="26" t="s">
        <v>10</v>
      </c>
      <c r="E33" s="26" t="n">
        <v>3</v>
      </c>
      <c r="F33" s="29" t="n">
        <f aca="false">INDEX(Assumptions!$C$9:$C$18,MATCH(D33,Assumptions!$B$9:$B$18,0))</f>
        <v>1100</v>
      </c>
      <c r="G33" s="29" t="n">
        <f aca="false">E33*F33</f>
        <v>3300</v>
      </c>
    </row>
    <row r="34" customFormat="false" ht="15" hidden="false" customHeight="false" outlineLevel="0" collapsed="false">
      <c r="A34" s="26" t="s">
        <v>242</v>
      </c>
      <c r="B34" s="32" t="s">
        <v>238</v>
      </c>
      <c r="C34" s="28" t="s">
        <v>243</v>
      </c>
      <c r="D34" s="26" t="s">
        <v>11</v>
      </c>
      <c r="E34" s="26" t="n">
        <v>6</v>
      </c>
      <c r="F34" s="29" t="n">
        <f aca="false">INDEX(Assumptions!$C$9:$C$18,MATCH(D34,Assumptions!$B$9:$B$18,0))</f>
        <v>1100</v>
      </c>
      <c r="G34" s="29" t="n">
        <f aca="false">E34*F34</f>
        <v>6600</v>
      </c>
    </row>
    <row r="35" customFormat="false" ht="15" hidden="false" customHeight="false" outlineLevel="0" collapsed="false">
      <c r="A35" s="26" t="s">
        <v>244</v>
      </c>
      <c r="B35" s="32" t="s">
        <v>238</v>
      </c>
      <c r="C35" s="28" t="s">
        <v>245</v>
      </c>
      <c r="D35" s="26" t="s">
        <v>10</v>
      </c>
      <c r="E35" s="26" t="n">
        <v>2</v>
      </c>
      <c r="F35" s="29" t="n">
        <f aca="false">INDEX(Assumptions!$C$9:$C$18,MATCH(D35,Assumptions!$B$9:$B$18,0))</f>
        <v>1100</v>
      </c>
      <c r="G35" s="29" t="n">
        <f aca="false">E35*F35</f>
        <v>2200</v>
      </c>
    </row>
    <row r="36" customFormat="false" ht="15" hidden="false" customHeight="false" outlineLevel="0" collapsed="false">
      <c r="A36" s="26" t="s">
        <v>246</v>
      </c>
      <c r="B36" s="32" t="s">
        <v>238</v>
      </c>
      <c r="C36" s="28" t="s">
        <v>247</v>
      </c>
      <c r="D36" s="26" t="s">
        <v>13</v>
      </c>
      <c r="E36" s="26" t="n">
        <v>4</v>
      </c>
      <c r="F36" s="29" t="n">
        <f aca="false">INDEX(Assumptions!$C$9:$C$18,MATCH(D36,Assumptions!$B$9:$B$18,0))</f>
        <v>1000</v>
      </c>
      <c r="G36" s="29" t="n">
        <f aca="false">E36*F36</f>
        <v>4000</v>
      </c>
    </row>
    <row r="37" customFormat="false" ht="15" hidden="false" customHeight="false" outlineLevel="0" collapsed="false">
      <c r="A37" s="26" t="s">
        <v>248</v>
      </c>
      <c r="B37" s="32" t="s">
        <v>238</v>
      </c>
      <c r="C37" s="28" t="s">
        <v>249</v>
      </c>
      <c r="D37" s="26" t="s">
        <v>10</v>
      </c>
      <c r="E37" s="26" t="n">
        <v>2</v>
      </c>
      <c r="F37" s="29" t="n">
        <f aca="false">INDEX(Assumptions!$C$9:$C$18,MATCH(D37,Assumptions!$B$9:$B$18,0))</f>
        <v>1100</v>
      </c>
      <c r="G37" s="29" t="n">
        <f aca="false">E37*F37</f>
        <v>2200</v>
      </c>
    </row>
    <row r="38" customFormat="false" ht="15" hidden="false" customHeight="false" outlineLevel="0" collapsed="false">
      <c r="A38" s="26" t="s">
        <v>250</v>
      </c>
      <c r="B38" s="32" t="s">
        <v>238</v>
      </c>
      <c r="C38" s="28" t="s">
        <v>251</v>
      </c>
      <c r="D38" s="26" t="s">
        <v>13</v>
      </c>
      <c r="E38" s="26" t="n">
        <v>3</v>
      </c>
      <c r="F38" s="29" t="n">
        <f aca="false">INDEX(Assumptions!$C$9:$C$18,MATCH(D38,Assumptions!$B$9:$B$18,0))</f>
        <v>1000</v>
      </c>
      <c r="G38" s="29" t="n">
        <f aca="false">E38*F38</f>
        <v>3000</v>
      </c>
    </row>
    <row r="39" customFormat="false" ht="15" hidden="false" customHeight="false" outlineLevel="0" collapsed="false">
      <c r="A39" s="26" t="s">
        <v>252</v>
      </c>
      <c r="B39" s="32" t="s">
        <v>238</v>
      </c>
      <c r="C39" s="28" t="s">
        <v>253</v>
      </c>
      <c r="D39" s="26" t="s">
        <v>14</v>
      </c>
      <c r="E39" s="26" t="n">
        <v>4</v>
      </c>
      <c r="F39" s="29" t="n">
        <f aca="false">INDEX(Assumptions!$C$9:$C$18,MATCH(D39,Assumptions!$B$9:$B$18,0))</f>
        <v>900</v>
      </c>
      <c r="G39" s="29" t="n">
        <f aca="false">E39*F39</f>
        <v>3600</v>
      </c>
    </row>
    <row r="40" customFormat="false" ht="15" hidden="false" customHeight="false" outlineLevel="0" collapsed="false">
      <c r="A40" s="26" t="s">
        <v>254</v>
      </c>
      <c r="B40" s="33" t="s">
        <v>255</v>
      </c>
      <c r="C40" s="28" t="s">
        <v>256</v>
      </c>
      <c r="D40" s="26" t="s">
        <v>11</v>
      </c>
      <c r="E40" s="26" t="n">
        <v>4</v>
      </c>
      <c r="F40" s="29" t="n">
        <f aca="false">INDEX(Assumptions!$C$9:$C$18,MATCH(D40,Assumptions!$B$9:$B$18,0))</f>
        <v>1100</v>
      </c>
      <c r="G40" s="29" t="n">
        <f aca="false">E40*F40</f>
        <v>4400</v>
      </c>
    </row>
    <row r="41" customFormat="false" ht="15" hidden="false" customHeight="false" outlineLevel="0" collapsed="false">
      <c r="A41" s="26" t="s">
        <v>257</v>
      </c>
      <c r="B41" s="33" t="s">
        <v>255</v>
      </c>
      <c r="C41" s="28" t="s">
        <v>258</v>
      </c>
      <c r="D41" s="26" t="s">
        <v>10</v>
      </c>
      <c r="E41" s="26" t="n">
        <v>4</v>
      </c>
      <c r="F41" s="29" t="n">
        <f aca="false">INDEX(Assumptions!$C$9:$C$18,MATCH(D41,Assumptions!$B$9:$B$18,0))</f>
        <v>1100</v>
      </c>
      <c r="G41" s="29" t="n">
        <f aca="false">E41*F41</f>
        <v>4400</v>
      </c>
    </row>
    <row r="42" customFormat="false" ht="15" hidden="false" customHeight="false" outlineLevel="0" collapsed="false">
      <c r="A42" s="26" t="s">
        <v>259</v>
      </c>
      <c r="B42" s="33" t="s">
        <v>255</v>
      </c>
      <c r="C42" s="28" t="s">
        <v>260</v>
      </c>
      <c r="D42" s="26" t="s">
        <v>10</v>
      </c>
      <c r="E42" s="26" t="n">
        <v>2</v>
      </c>
      <c r="F42" s="29" t="n">
        <f aca="false">INDEX(Assumptions!$C$9:$C$18,MATCH(D42,Assumptions!$B$9:$B$18,0))</f>
        <v>1100</v>
      </c>
      <c r="G42" s="29" t="n">
        <f aca="false">E42*F42</f>
        <v>2200</v>
      </c>
    </row>
    <row r="43" customFormat="false" ht="15" hidden="false" customHeight="false" outlineLevel="0" collapsed="false">
      <c r="A43" s="26" t="s">
        <v>261</v>
      </c>
      <c r="B43" s="33" t="s">
        <v>255</v>
      </c>
      <c r="C43" s="28" t="s">
        <v>262</v>
      </c>
      <c r="D43" s="26" t="s">
        <v>10</v>
      </c>
      <c r="E43" s="26" t="n">
        <v>3</v>
      </c>
      <c r="F43" s="29" t="n">
        <f aca="false">INDEX(Assumptions!$C$9:$C$18,MATCH(D43,Assumptions!$B$9:$B$18,0))</f>
        <v>1100</v>
      </c>
      <c r="G43" s="29" t="n">
        <f aca="false">E43*F43</f>
        <v>3300</v>
      </c>
    </row>
    <row r="44" customFormat="false" ht="15" hidden="false" customHeight="false" outlineLevel="0" collapsed="false">
      <c r="A44" s="26" t="s">
        <v>263</v>
      </c>
      <c r="B44" s="33" t="s">
        <v>255</v>
      </c>
      <c r="C44" s="28" t="s">
        <v>264</v>
      </c>
      <c r="D44" s="26" t="s">
        <v>13</v>
      </c>
      <c r="E44" s="26" t="n">
        <v>5</v>
      </c>
      <c r="F44" s="29" t="n">
        <f aca="false">INDEX(Assumptions!$C$9:$C$18,MATCH(D44,Assumptions!$B$9:$B$18,0))</f>
        <v>1000</v>
      </c>
      <c r="G44" s="29" t="n">
        <f aca="false">E44*F44</f>
        <v>5000</v>
      </c>
    </row>
    <row r="45" customFormat="false" ht="15" hidden="false" customHeight="false" outlineLevel="0" collapsed="false">
      <c r="A45" s="26" t="s">
        <v>265</v>
      </c>
      <c r="B45" s="33" t="s">
        <v>255</v>
      </c>
      <c r="C45" s="28" t="s">
        <v>266</v>
      </c>
      <c r="D45" s="26" t="s">
        <v>11</v>
      </c>
      <c r="E45" s="26" t="n">
        <v>3</v>
      </c>
      <c r="F45" s="29" t="n">
        <f aca="false">INDEX(Assumptions!$C$9:$C$18,MATCH(D45,Assumptions!$B$9:$B$18,0))</f>
        <v>1100</v>
      </c>
      <c r="G45" s="29" t="n">
        <f aca="false">E45*F45</f>
        <v>3300</v>
      </c>
    </row>
    <row r="46" customFormat="false" ht="15" hidden="false" customHeight="false" outlineLevel="0" collapsed="false">
      <c r="A46" s="26" t="s">
        <v>267</v>
      </c>
      <c r="B46" s="33" t="s">
        <v>255</v>
      </c>
      <c r="C46" s="28" t="s">
        <v>268</v>
      </c>
      <c r="D46" s="26" t="s">
        <v>14</v>
      </c>
      <c r="E46" s="26" t="n">
        <v>4</v>
      </c>
      <c r="F46" s="29" t="n">
        <f aca="false">INDEX(Assumptions!$C$9:$C$18,MATCH(D46,Assumptions!$B$9:$B$18,0))</f>
        <v>900</v>
      </c>
      <c r="G46" s="29" t="n">
        <f aca="false">E46*F46</f>
        <v>3600</v>
      </c>
    </row>
    <row r="47" customFormat="false" ht="15" hidden="false" customHeight="false" outlineLevel="0" collapsed="false">
      <c r="A47" s="26" t="s">
        <v>269</v>
      </c>
      <c r="B47" s="34" t="s">
        <v>270</v>
      </c>
      <c r="C47" s="28" t="s">
        <v>271</v>
      </c>
      <c r="D47" s="26" t="s">
        <v>11</v>
      </c>
      <c r="E47" s="26" t="n">
        <v>4</v>
      </c>
      <c r="F47" s="29" t="n">
        <f aca="false">INDEX(Assumptions!$C$9:$C$18,MATCH(D47,Assumptions!$B$9:$B$18,0))</f>
        <v>1100</v>
      </c>
      <c r="G47" s="29" t="n">
        <f aca="false">E47*F47</f>
        <v>4400</v>
      </c>
    </row>
    <row r="48" customFormat="false" ht="15" hidden="false" customHeight="false" outlineLevel="0" collapsed="false">
      <c r="A48" s="26" t="s">
        <v>272</v>
      </c>
      <c r="B48" s="34" t="s">
        <v>270</v>
      </c>
      <c r="C48" s="28" t="s">
        <v>273</v>
      </c>
      <c r="D48" s="26" t="s">
        <v>13</v>
      </c>
      <c r="E48" s="26" t="n">
        <v>5</v>
      </c>
      <c r="F48" s="29" t="n">
        <f aca="false">INDEX(Assumptions!$C$9:$C$18,MATCH(D48,Assumptions!$B$9:$B$18,0))</f>
        <v>1000</v>
      </c>
      <c r="G48" s="29" t="n">
        <f aca="false">E48*F48</f>
        <v>5000</v>
      </c>
    </row>
    <row r="49" customFormat="false" ht="15" hidden="false" customHeight="false" outlineLevel="0" collapsed="false">
      <c r="A49" s="26" t="s">
        <v>274</v>
      </c>
      <c r="B49" s="34" t="s">
        <v>270</v>
      </c>
      <c r="C49" s="28" t="s">
        <v>275</v>
      </c>
      <c r="D49" s="26" t="s">
        <v>11</v>
      </c>
      <c r="E49" s="26" t="n">
        <v>3</v>
      </c>
      <c r="F49" s="29" t="n">
        <f aca="false">INDEX(Assumptions!$C$9:$C$18,MATCH(D49,Assumptions!$B$9:$B$18,0))</f>
        <v>1100</v>
      </c>
      <c r="G49" s="29" t="n">
        <f aca="false">E49*F49</f>
        <v>3300</v>
      </c>
    </row>
    <row r="50" customFormat="false" ht="15" hidden="false" customHeight="false" outlineLevel="0" collapsed="false">
      <c r="A50" s="26" t="s">
        <v>276</v>
      </c>
      <c r="B50" s="34" t="s">
        <v>270</v>
      </c>
      <c r="C50" s="28" t="s">
        <v>277</v>
      </c>
      <c r="D50" s="26" t="s">
        <v>10</v>
      </c>
      <c r="E50" s="26" t="n">
        <v>2</v>
      </c>
      <c r="F50" s="29" t="n">
        <f aca="false">INDEX(Assumptions!$C$9:$C$18,MATCH(D50,Assumptions!$B$9:$B$18,0))</f>
        <v>1100</v>
      </c>
      <c r="G50" s="29" t="n">
        <f aca="false">E50*F50</f>
        <v>2200</v>
      </c>
    </row>
    <row r="51" customFormat="false" ht="15" hidden="false" customHeight="false" outlineLevel="0" collapsed="false">
      <c r="A51" s="26" t="s">
        <v>278</v>
      </c>
      <c r="B51" s="34" t="s">
        <v>270</v>
      </c>
      <c r="C51" s="28" t="s">
        <v>279</v>
      </c>
      <c r="D51" s="26" t="s">
        <v>14</v>
      </c>
      <c r="E51" s="26" t="n">
        <v>3</v>
      </c>
      <c r="F51" s="29" t="n">
        <f aca="false">INDEX(Assumptions!$C$9:$C$18,MATCH(D51,Assumptions!$B$9:$B$18,0))</f>
        <v>900</v>
      </c>
      <c r="G51" s="29" t="n">
        <f aca="false">E51*F51</f>
        <v>2700</v>
      </c>
    </row>
    <row r="52" customFormat="false" ht="15" hidden="false" customHeight="false" outlineLevel="0" collapsed="false">
      <c r="A52" s="26" t="s">
        <v>280</v>
      </c>
      <c r="B52" s="35" t="s">
        <v>281</v>
      </c>
      <c r="C52" s="28" t="s">
        <v>282</v>
      </c>
      <c r="D52" s="26" t="s">
        <v>14</v>
      </c>
      <c r="E52" s="26" t="n">
        <v>5</v>
      </c>
      <c r="F52" s="29" t="n">
        <f aca="false">INDEX(Assumptions!$C$9:$C$18,MATCH(D52,Assumptions!$B$9:$B$18,0))</f>
        <v>900</v>
      </c>
      <c r="G52" s="29" t="n">
        <f aca="false">E52*F52</f>
        <v>4500</v>
      </c>
    </row>
    <row r="53" customFormat="false" ht="15" hidden="false" customHeight="false" outlineLevel="0" collapsed="false">
      <c r="A53" s="26" t="s">
        <v>283</v>
      </c>
      <c r="B53" s="35" t="s">
        <v>281</v>
      </c>
      <c r="C53" s="28" t="s">
        <v>284</v>
      </c>
      <c r="D53" s="26" t="s">
        <v>15</v>
      </c>
      <c r="E53" s="26" t="n">
        <v>4</v>
      </c>
      <c r="F53" s="29" t="n">
        <f aca="false">INDEX(Assumptions!$C$9:$C$18,MATCH(D53,Assumptions!$B$9:$B$18,0))</f>
        <v>1250</v>
      </c>
      <c r="G53" s="29" t="n">
        <f aca="false">E53*F53</f>
        <v>5000</v>
      </c>
    </row>
    <row r="54" customFormat="false" ht="15" hidden="false" customHeight="false" outlineLevel="0" collapsed="false">
      <c r="A54" s="26" t="s">
        <v>285</v>
      </c>
      <c r="B54" s="35" t="s">
        <v>281</v>
      </c>
      <c r="C54" s="28" t="s">
        <v>286</v>
      </c>
      <c r="D54" s="26" t="s">
        <v>16</v>
      </c>
      <c r="E54" s="26" t="n">
        <v>3</v>
      </c>
      <c r="F54" s="29" t="n">
        <f aca="false">INDEX(Assumptions!$C$9:$C$18,MATCH(D54,Assumptions!$B$9:$B$18,0))</f>
        <v>1300</v>
      </c>
      <c r="G54" s="29" t="n">
        <f aca="false">E54*F54</f>
        <v>3900</v>
      </c>
    </row>
    <row r="55" customFormat="false" ht="15" hidden="false" customHeight="false" outlineLevel="0" collapsed="false">
      <c r="A55" s="26" t="s">
        <v>287</v>
      </c>
      <c r="B55" s="35" t="s">
        <v>281</v>
      </c>
      <c r="C55" s="28" t="s">
        <v>288</v>
      </c>
      <c r="D55" s="26" t="s">
        <v>14</v>
      </c>
      <c r="E55" s="26" t="n">
        <v>3</v>
      </c>
      <c r="F55" s="29" t="n">
        <f aca="false">INDEX(Assumptions!$C$9:$C$18,MATCH(D55,Assumptions!$B$9:$B$18,0))</f>
        <v>900</v>
      </c>
      <c r="G55" s="29" t="n">
        <f aca="false">E55*F55</f>
        <v>2700</v>
      </c>
    </row>
    <row r="56" customFormat="false" ht="15" hidden="false" customHeight="false" outlineLevel="0" collapsed="false">
      <c r="A56" s="26" t="s">
        <v>289</v>
      </c>
      <c r="B56" s="35" t="s">
        <v>281</v>
      </c>
      <c r="C56" s="28" t="s">
        <v>290</v>
      </c>
      <c r="D56" s="26" t="s">
        <v>16</v>
      </c>
      <c r="E56" s="26" t="n">
        <v>4</v>
      </c>
      <c r="F56" s="29" t="n">
        <f aca="false">INDEX(Assumptions!$C$9:$C$18,MATCH(D56,Assumptions!$B$9:$B$18,0))</f>
        <v>1300</v>
      </c>
      <c r="G56" s="29" t="n">
        <f aca="false">E56*F56</f>
        <v>5200</v>
      </c>
    </row>
    <row r="57" customFormat="false" ht="15" hidden="false" customHeight="false" outlineLevel="0" collapsed="false">
      <c r="A57" s="26" t="s">
        <v>291</v>
      </c>
      <c r="B57" s="35" t="s">
        <v>281</v>
      </c>
      <c r="C57" s="28" t="s">
        <v>292</v>
      </c>
      <c r="D57" s="26" t="s">
        <v>17</v>
      </c>
      <c r="E57" s="26" t="n">
        <v>2</v>
      </c>
      <c r="F57" s="29" t="n">
        <f aca="false">INDEX(Assumptions!$C$9:$C$18,MATCH(D57,Assumptions!$B$9:$B$18,0))</f>
        <v>1050</v>
      </c>
      <c r="G57" s="29" t="n">
        <f aca="false">E57*F57</f>
        <v>2100</v>
      </c>
    </row>
    <row r="58" customFormat="false" ht="15" hidden="false" customHeight="false" outlineLevel="0" collapsed="false">
      <c r="A58" s="26" t="s">
        <v>293</v>
      </c>
      <c r="B58" s="35" t="s">
        <v>281</v>
      </c>
      <c r="C58" s="28" t="s">
        <v>294</v>
      </c>
      <c r="D58" s="26" t="s">
        <v>8</v>
      </c>
      <c r="E58" s="26" t="n">
        <v>2</v>
      </c>
      <c r="F58" s="29" t="n">
        <f aca="false">INDEX(Assumptions!$C$9:$C$18,MATCH(D58,Assumptions!$B$9:$B$18,0))</f>
        <v>1450</v>
      </c>
      <c r="G58" s="29" t="n">
        <f aca="false">E58*F58</f>
        <v>2900</v>
      </c>
    </row>
    <row r="59" customFormat="false" ht="15" hidden="false" customHeight="false" outlineLevel="0" collapsed="false">
      <c r="A59" s="17"/>
      <c r="B59" s="17"/>
      <c r="C59" s="12" t="s">
        <v>295</v>
      </c>
      <c r="D59" s="17"/>
      <c r="E59" s="12" t="n">
        <f aca="false">SUM(E2:E58)</f>
        <v>204.5</v>
      </c>
      <c r="F59" s="17"/>
      <c r="G59" s="16" t="n">
        <f aca="false">SUM(G2:G58)</f>
        <v>221575</v>
      </c>
    </row>
  </sheetData>
  <autoFilter ref="A1:G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6" t="s">
        <v>296</v>
      </c>
    </row>
    <row r="3" customFormat="false" ht="15" hidden="false" customHeight="false" outlineLevel="0" collapsed="false">
      <c r="B3" s="37" t="s">
        <v>297</v>
      </c>
      <c r="C3" s="37"/>
      <c r="D3" s="37"/>
      <c r="E3" s="37"/>
    </row>
    <row r="5" customFormat="false" ht="16.15" hidden="false" customHeight="false" outlineLevel="0" collapsed="false">
      <c r="B5" s="5" t="s">
        <v>298</v>
      </c>
    </row>
    <row r="6" customFormat="false" ht="15" hidden="false" customHeight="false" outlineLevel="0" collapsed="false">
      <c r="B6" s="6" t="s">
        <v>5</v>
      </c>
      <c r="C6" s="6" t="s">
        <v>172</v>
      </c>
      <c r="D6" s="6" t="s">
        <v>299</v>
      </c>
    </row>
    <row r="7" customFormat="false" ht="15" hidden="false" customHeight="false" outlineLevel="0" collapsed="false">
      <c r="B7" s="7" t="s">
        <v>8</v>
      </c>
      <c r="C7" s="9" t="n">
        <f aca="false">SUMIF('Task Cost Detail'!$D$2:$D$1000,B7,'Task Cost Detail'!$E$2:$E$1000)</f>
        <v>7.5</v>
      </c>
      <c r="D7" s="38" t="n">
        <f aca="false">SUMIF('Task Cost Detail'!$D$2:$D$1000,B7,'Task Cost Detail'!$G$2:$G$1000)</f>
        <v>10875</v>
      </c>
    </row>
    <row r="8" customFormat="false" ht="15" hidden="false" customHeight="false" outlineLevel="0" collapsed="false">
      <c r="B8" s="7" t="s">
        <v>10</v>
      </c>
      <c r="C8" s="9" t="n">
        <f aca="false">SUMIF('Task Cost Detail'!$D$2:$D$1000,B8,'Task Cost Detail'!$E$2:$E$1000)</f>
        <v>57</v>
      </c>
      <c r="D8" s="38" t="n">
        <f aca="false">SUMIF('Task Cost Detail'!$D$2:$D$1000,B8,'Task Cost Detail'!$G$2:$G$1000)</f>
        <v>62700</v>
      </c>
    </row>
    <row r="9" customFormat="false" ht="15" hidden="false" customHeight="false" outlineLevel="0" collapsed="false">
      <c r="B9" s="7" t="s">
        <v>11</v>
      </c>
      <c r="C9" s="9" t="n">
        <f aca="false">SUMIF('Task Cost Detail'!$D$2:$D$1000,B9,'Task Cost Detail'!$E$2:$E$1000)</f>
        <v>47</v>
      </c>
      <c r="D9" s="38" t="n">
        <f aca="false">SUMIF('Task Cost Detail'!$D$2:$D$1000,B9,'Task Cost Detail'!$G$2:$G$1000)</f>
        <v>51700</v>
      </c>
    </row>
    <row r="10" customFormat="false" ht="15" hidden="false" customHeight="false" outlineLevel="0" collapsed="false">
      <c r="B10" s="7" t="s">
        <v>12</v>
      </c>
      <c r="C10" s="9" t="n">
        <f aca="false">SUMIF('Task Cost Detail'!$D$2:$D$1000,B10,'Task Cost Detail'!$E$2:$E$1000)</f>
        <v>13</v>
      </c>
      <c r="D10" s="38" t="n">
        <f aca="false">SUMIF('Task Cost Detail'!$D$2:$D$1000,B10,'Task Cost Detail'!$G$2:$G$1000)</f>
        <v>14300</v>
      </c>
    </row>
    <row r="11" customFormat="false" ht="15" hidden="false" customHeight="false" outlineLevel="0" collapsed="false">
      <c r="B11" s="7" t="s">
        <v>13</v>
      </c>
      <c r="C11" s="9" t="n">
        <f aca="false">SUMIF('Task Cost Detail'!$D$2:$D$1000,B11,'Task Cost Detail'!$E$2:$E$1000)</f>
        <v>32</v>
      </c>
      <c r="D11" s="38" t="n">
        <f aca="false">SUMIF('Task Cost Detail'!$D$2:$D$1000,B11,'Task Cost Detail'!$G$2:$G$1000)</f>
        <v>32000</v>
      </c>
    </row>
    <row r="12" customFormat="false" ht="15" hidden="false" customHeight="false" outlineLevel="0" collapsed="false">
      <c r="B12" s="7" t="s">
        <v>14</v>
      </c>
      <c r="C12" s="9" t="n">
        <f aca="false">SUMIF('Task Cost Detail'!$D$2:$D$1000,B12,'Task Cost Detail'!$E$2:$E$1000)</f>
        <v>28</v>
      </c>
      <c r="D12" s="38" t="n">
        <f aca="false">SUMIF('Task Cost Detail'!$D$2:$D$1000,B12,'Task Cost Detail'!$G$2:$G$1000)</f>
        <v>25200</v>
      </c>
    </row>
    <row r="13" customFormat="false" ht="15" hidden="false" customHeight="false" outlineLevel="0" collapsed="false">
      <c r="B13" s="7" t="s">
        <v>15</v>
      </c>
      <c r="C13" s="9" t="n">
        <f aca="false">SUMIF('Task Cost Detail'!$D$2:$D$1000,B13,'Task Cost Detail'!$E$2:$E$1000)</f>
        <v>4</v>
      </c>
      <c r="D13" s="38" t="n">
        <f aca="false">SUMIF('Task Cost Detail'!$D$2:$D$1000,B13,'Task Cost Detail'!$G$2:$G$1000)</f>
        <v>5000</v>
      </c>
    </row>
    <row r="14" customFormat="false" ht="15" hidden="false" customHeight="false" outlineLevel="0" collapsed="false">
      <c r="B14" s="7" t="s">
        <v>16</v>
      </c>
      <c r="C14" s="9" t="n">
        <f aca="false">SUMIF('Task Cost Detail'!$D$2:$D$1000,B14,'Task Cost Detail'!$E$2:$E$1000)</f>
        <v>12</v>
      </c>
      <c r="D14" s="38" t="n">
        <f aca="false">SUMIF('Task Cost Detail'!$D$2:$D$1000,B14,'Task Cost Detail'!$G$2:$G$1000)</f>
        <v>15600</v>
      </c>
    </row>
    <row r="15" customFormat="false" ht="15" hidden="false" customHeight="false" outlineLevel="0" collapsed="false">
      <c r="B15" s="7" t="s">
        <v>17</v>
      </c>
      <c r="C15" s="9" t="n">
        <f aca="false">SUMIF('Task Cost Detail'!$D$2:$D$1000,B15,'Task Cost Detail'!$E$2:$E$1000)</f>
        <v>4</v>
      </c>
      <c r="D15" s="38" t="n">
        <f aca="false">SUMIF('Task Cost Detail'!$D$2:$D$1000,B15,'Task Cost Detail'!$G$2:$G$1000)</f>
        <v>4200</v>
      </c>
    </row>
    <row r="16" customFormat="false" ht="15" hidden="false" customHeight="false" outlineLevel="0" collapsed="false">
      <c r="B16" s="7" t="s">
        <v>18</v>
      </c>
      <c r="C16" s="9" t="n">
        <f aca="false">SUMIF('Task Cost Detail'!$D$2:$D$1000,B16,'Task Cost Detail'!$E$2:$E$1000)</f>
        <v>0</v>
      </c>
      <c r="D16" s="38" t="n">
        <f aca="false">SUMIF('Task Cost Detail'!$D$2:$D$1000,B16,'Task Cost Detail'!$G$2:$G$1000)</f>
        <v>0</v>
      </c>
    </row>
    <row r="17" customFormat="false" ht="15" hidden="false" customHeight="false" outlineLevel="0" collapsed="false">
      <c r="B17" s="12" t="s">
        <v>300</v>
      </c>
      <c r="C17" s="12" t="n">
        <f aca="false">SUM(C7:C16)</f>
        <v>204.5</v>
      </c>
      <c r="D17" s="16" t="n">
        <f aca="false">SUM(D7:D16)</f>
        <v>221575</v>
      </c>
    </row>
    <row r="19" customFormat="false" ht="16.15" hidden="false" customHeight="false" outlineLevel="0" collapsed="false">
      <c r="B19" s="5" t="s">
        <v>301</v>
      </c>
    </row>
    <row r="20" customFormat="false" ht="15" hidden="false" customHeight="false" outlineLevel="0" collapsed="false">
      <c r="B20" s="6" t="s">
        <v>169</v>
      </c>
      <c r="C20" s="6" t="s">
        <v>302</v>
      </c>
      <c r="D20" s="6" t="s">
        <v>299</v>
      </c>
    </row>
    <row r="21" customFormat="false" ht="15" hidden="false" customHeight="false" outlineLevel="0" collapsed="false">
      <c r="B21" s="39" t="s">
        <v>175</v>
      </c>
      <c r="C21" s="40" t="s">
        <v>303</v>
      </c>
      <c r="D21" s="41" t="n">
        <f aca="false">SUMIF('Task Cost Detail'!$B$2:$B$1000,B21,'Task Cost Detail'!$G$2:$G$1000)</f>
        <v>23275</v>
      </c>
    </row>
    <row r="22" customFormat="false" ht="15" hidden="false" customHeight="false" outlineLevel="0" collapsed="false">
      <c r="B22" s="42" t="s">
        <v>190</v>
      </c>
      <c r="C22" s="43" t="s">
        <v>304</v>
      </c>
      <c r="D22" s="44" t="n">
        <f aca="false">SUMIF('Task Cost Detail'!$B$2:$B$1000,B22,'Task Cost Detail'!$G$2:$G$1000)</f>
        <v>43750</v>
      </c>
    </row>
    <row r="23" customFormat="false" ht="15" hidden="false" customHeight="false" outlineLevel="0" collapsed="false">
      <c r="B23" s="45" t="s">
        <v>213</v>
      </c>
      <c r="C23" s="46" t="s">
        <v>305</v>
      </c>
      <c r="D23" s="47" t="n">
        <f aca="false">SUMIF('Task Cost Detail'!$B$2:$B$1000,B23,'Task Cost Detail'!$G$2:$G$1000)</f>
        <v>55150</v>
      </c>
    </row>
    <row r="24" customFormat="false" ht="15" hidden="false" customHeight="false" outlineLevel="0" collapsed="false">
      <c r="B24" s="48" t="s">
        <v>238</v>
      </c>
      <c r="C24" s="49" t="s">
        <v>306</v>
      </c>
      <c r="D24" s="50" t="n">
        <f aca="false">SUMIF('Task Cost Detail'!$B$2:$B$1000,B24,'Task Cost Detail'!$G$2:$G$1000)</f>
        <v>29300</v>
      </c>
    </row>
    <row r="25" customFormat="false" ht="15" hidden="false" customHeight="false" outlineLevel="0" collapsed="false">
      <c r="B25" s="51" t="s">
        <v>255</v>
      </c>
      <c r="C25" s="52" t="s">
        <v>307</v>
      </c>
      <c r="D25" s="53" t="n">
        <f aca="false">SUMIF('Task Cost Detail'!$B$2:$B$1000,B25,'Task Cost Detail'!$G$2:$G$1000)</f>
        <v>26200</v>
      </c>
    </row>
    <row r="26" customFormat="false" ht="15" hidden="false" customHeight="false" outlineLevel="0" collapsed="false">
      <c r="B26" s="54" t="s">
        <v>270</v>
      </c>
      <c r="C26" s="55" t="s">
        <v>308</v>
      </c>
      <c r="D26" s="56" t="n">
        <f aca="false">SUMIF('Task Cost Detail'!$B$2:$B$1000,B26,'Task Cost Detail'!$G$2:$G$1000)</f>
        <v>17600</v>
      </c>
    </row>
    <row r="27" customFormat="false" ht="15" hidden="false" customHeight="false" outlineLevel="0" collapsed="false">
      <c r="B27" s="57" t="s">
        <v>281</v>
      </c>
      <c r="C27" s="58" t="s">
        <v>309</v>
      </c>
      <c r="D27" s="59" t="n">
        <f aca="false">SUMIF('Task Cost Detail'!$B$2:$B$1000,B27,'Task Cost Detail'!$G$2:$G$1000)</f>
        <v>26300</v>
      </c>
    </row>
    <row r="29" customFormat="false" ht="16.15" hidden="false" customHeight="false" outlineLevel="0" collapsed="false">
      <c r="B29" s="5" t="s">
        <v>310</v>
      </c>
    </row>
    <row r="30" customFormat="false" ht="15" hidden="false" customHeight="false" outlineLevel="0" collapsed="false">
      <c r="B30" s="25" t="s">
        <v>101</v>
      </c>
      <c r="C30" s="25" t="s">
        <v>311</v>
      </c>
      <c r="D30" s="25" t="s">
        <v>312</v>
      </c>
    </row>
    <row r="31" customFormat="false" ht="15" hidden="false" customHeight="false" outlineLevel="0" collapsed="false">
      <c r="B31" s="7" t="s">
        <v>313</v>
      </c>
      <c r="C31" s="9" t="n">
        <f aca="false">Assumptions!C44</f>
        <v>3</v>
      </c>
      <c r="D31" s="38" t="n">
        <f aca="false">Assumptions!C44*Assumptions!C42</f>
        <v>105000</v>
      </c>
    </row>
    <row r="32" customFormat="false" ht="15" hidden="false" customHeight="false" outlineLevel="0" collapsed="false">
      <c r="B32" s="7" t="s">
        <v>314</v>
      </c>
      <c r="C32" s="9" t="n">
        <f aca="false">Assumptions!C62</f>
        <v>3</v>
      </c>
      <c r="D32" s="38" t="n">
        <f aca="false">Assumptions!C62*Assumptions!C63</f>
        <v>60000</v>
      </c>
    </row>
    <row r="33" customFormat="false" ht="15" hidden="false" customHeight="false" outlineLevel="0" collapsed="false">
      <c r="B33" s="7" t="s">
        <v>315</v>
      </c>
      <c r="C33" s="9" t="n">
        <v>1</v>
      </c>
      <c r="D33" s="38" t="n">
        <f aca="false">Assumptions!C67</f>
        <v>8000</v>
      </c>
    </row>
    <row r="34" customFormat="false" ht="15" hidden="false" customHeight="false" outlineLevel="0" collapsed="false">
      <c r="B34" s="7" t="s">
        <v>96</v>
      </c>
      <c r="C34" s="9" t="n">
        <f aca="false">Assumptions!C68</f>
        <v>0</v>
      </c>
      <c r="D34" s="38" t="n">
        <f aca="false">Assumptions!C68*Assumptions!C69</f>
        <v>0</v>
      </c>
    </row>
    <row r="35" customFormat="false" ht="15" hidden="false" customHeight="false" outlineLevel="0" collapsed="false">
      <c r="B35" s="7" t="s">
        <v>316</v>
      </c>
      <c r="C35" s="9" t="n">
        <f aca="false">Assumptions!C55</f>
        <v>18</v>
      </c>
      <c r="D35" s="38" t="n">
        <f aca="false">Assumptions!C58</f>
        <v>72000</v>
      </c>
    </row>
    <row r="36" customFormat="false" ht="15" hidden="false" customHeight="false" outlineLevel="0" collapsed="false">
      <c r="B36" s="12" t="s">
        <v>317</v>
      </c>
      <c r="C36" s="17"/>
      <c r="D36" s="16" t="n">
        <f aca="false">D31+D32+D33+D34+D35</f>
        <v>245000</v>
      </c>
    </row>
    <row r="38" customFormat="false" ht="16.15" hidden="false" customHeight="false" outlineLevel="0" collapsed="false">
      <c r="B38" s="5" t="s">
        <v>112</v>
      </c>
    </row>
    <row r="39" customFormat="false" ht="15" hidden="false" customHeight="false" outlineLevel="0" collapsed="false">
      <c r="B39" s="25" t="s">
        <v>101</v>
      </c>
      <c r="C39" s="25" t="s">
        <v>312</v>
      </c>
    </row>
    <row r="40" customFormat="false" ht="15" hidden="false" customHeight="false" outlineLevel="0" collapsed="false">
      <c r="B40" s="7" t="s">
        <v>318</v>
      </c>
      <c r="C40" s="38" t="n">
        <f aca="false">Assumptions!C80</f>
        <v>30000</v>
      </c>
    </row>
    <row r="41" customFormat="false" ht="15" hidden="false" customHeight="false" outlineLevel="0" collapsed="false">
      <c r="B41" s="7" t="s">
        <v>319</v>
      </c>
      <c r="C41" s="38" t="n">
        <f aca="false">Assumptions!C81</f>
        <v>5000</v>
      </c>
    </row>
    <row r="42" customFormat="false" ht="15" hidden="false" customHeight="false" outlineLevel="0" collapsed="false">
      <c r="B42" s="7" t="s">
        <v>320</v>
      </c>
      <c r="C42" s="38" t="n">
        <f aca="false">Assumptions!C82</f>
        <v>45000</v>
      </c>
    </row>
    <row r="43" customFormat="false" ht="15" hidden="false" customHeight="false" outlineLevel="0" collapsed="false">
      <c r="B43" s="7" t="s">
        <v>321</v>
      </c>
      <c r="C43" s="38" t="n">
        <f aca="false">IF(Assumptions!C84="Yes",Assumptions!C85,0)</f>
        <v>0</v>
      </c>
    </row>
    <row r="44" customFormat="false" ht="15" hidden="false" customHeight="false" outlineLevel="0" collapsed="false">
      <c r="B44" s="12" t="s">
        <v>322</v>
      </c>
      <c r="C44" s="16" t="n">
        <f aca="false">SUM(C40:C43)</f>
        <v>80000</v>
      </c>
    </row>
    <row r="46" customFormat="false" ht="16.15" hidden="false" customHeight="false" outlineLevel="0" collapsed="false">
      <c r="B46" s="5" t="s">
        <v>142</v>
      </c>
    </row>
    <row r="47" customFormat="false" ht="15" hidden="false" customHeight="false" outlineLevel="0" collapsed="false">
      <c r="B47" s="25" t="s">
        <v>323</v>
      </c>
      <c r="C47" s="25" t="s">
        <v>324</v>
      </c>
      <c r="D47" s="25" t="s">
        <v>7</v>
      </c>
    </row>
    <row r="48" customFormat="false" ht="15" hidden="false" customHeight="false" outlineLevel="0" collapsed="false">
      <c r="B48" s="7" t="s">
        <v>325</v>
      </c>
      <c r="C48" s="60" t="n">
        <f aca="false">Assumptions!C62</f>
        <v>3</v>
      </c>
      <c r="D48" s="10" t="s">
        <v>326</v>
      </c>
    </row>
    <row r="49" customFormat="false" ht="15" hidden="false" customHeight="false" outlineLevel="0" collapsed="false">
      <c r="B49" s="7" t="s">
        <v>327</v>
      </c>
      <c r="C49" s="60" t="n">
        <f aca="false">Assumptions!C102</f>
        <v>150</v>
      </c>
      <c r="D49" s="10" t="s">
        <v>328</v>
      </c>
    </row>
    <row r="50" customFormat="false" ht="15" hidden="false" customHeight="false" outlineLevel="0" collapsed="false">
      <c r="B50" s="7" t="s">
        <v>146</v>
      </c>
      <c r="C50" s="60" t="n">
        <f aca="false">Assumptions!C103</f>
        <v>450</v>
      </c>
      <c r="D50" s="10" t="s">
        <v>329</v>
      </c>
    </row>
    <row r="51" customFormat="false" ht="15" hidden="false" customHeight="false" outlineLevel="0" collapsed="false">
      <c r="B51" s="7" t="s">
        <v>160</v>
      </c>
      <c r="C51" s="38" t="n">
        <f aca="false">Assumptions!C110</f>
        <v>237.5</v>
      </c>
      <c r="D51" s="10" t="s">
        <v>330</v>
      </c>
    </row>
    <row r="52" customFormat="false" ht="15" hidden="false" customHeight="false" outlineLevel="0" collapsed="false">
      <c r="B52" s="12" t="s">
        <v>164</v>
      </c>
      <c r="C52" s="16" t="n">
        <f aca="false">Assumptions!C112</f>
        <v>106875</v>
      </c>
      <c r="D52" s="17"/>
    </row>
    <row r="53" customFormat="false" ht="15" hidden="false" customHeight="false" outlineLevel="0" collapsed="false">
      <c r="B53" s="7" t="s">
        <v>331</v>
      </c>
      <c r="C53" s="24" t="n">
        <f aca="false">Assumptions!C114</f>
        <v>1.25</v>
      </c>
      <c r="D53" s="10" t="s">
        <v>332</v>
      </c>
    </row>
    <row r="54" customFormat="false" ht="15" hidden="false" customHeight="false" outlineLevel="0" collapsed="false">
      <c r="B54" s="7" t="s">
        <v>333</v>
      </c>
      <c r="C54" s="60" t="n">
        <f aca="false">Assumptions!C104</f>
        <v>30</v>
      </c>
      <c r="D54" s="10" t="s">
        <v>334</v>
      </c>
    </row>
    <row r="55" customFormat="false" ht="15" hidden="false" customHeight="false" outlineLevel="0" collapsed="false">
      <c r="B55" s="7" t="s">
        <v>150</v>
      </c>
      <c r="C55" s="60" t="n">
        <f aca="false">Assumptions!C105</f>
        <v>90</v>
      </c>
      <c r="D55" s="10" t="s">
        <v>335</v>
      </c>
    </row>
    <row r="57" customFormat="false" ht="16.15" hidden="false" customHeight="false" outlineLevel="0" collapsed="false">
      <c r="B57" s="5" t="s">
        <v>336</v>
      </c>
    </row>
    <row r="58" customFormat="false" ht="15" hidden="false" customHeight="false" outlineLevel="0" collapsed="false">
      <c r="B58" s="25" t="s">
        <v>323</v>
      </c>
      <c r="C58" s="25" t="s">
        <v>324</v>
      </c>
      <c r="D58" s="25" t="s">
        <v>7</v>
      </c>
    </row>
    <row r="59" customFormat="false" ht="15" hidden="false" customHeight="false" outlineLevel="0" collapsed="false">
      <c r="B59" s="7" t="s">
        <v>337</v>
      </c>
      <c r="C59" s="60" t="n">
        <f aca="false">Assumptions!C53</f>
        <v>55</v>
      </c>
      <c r="D59" s="10" t="s">
        <v>338</v>
      </c>
    </row>
    <row r="60" customFormat="false" ht="15" hidden="false" customHeight="false" outlineLevel="0" collapsed="false">
      <c r="B60" s="7" t="s">
        <v>78</v>
      </c>
      <c r="C60" s="60" t="n">
        <f aca="false">Assumptions!C55</f>
        <v>18</v>
      </c>
      <c r="D60" s="10" t="s">
        <v>339</v>
      </c>
    </row>
    <row r="61" customFormat="false" ht="15" hidden="false" customHeight="false" outlineLevel="0" collapsed="false">
      <c r="B61" s="7" t="s">
        <v>340</v>
      </c>
      <c r="C61" s="38" t="n">
        <f aca="false">Assumptions!C56</f>
        <v>4000</v>
      </c>
      <c r="D61" s="10" t="s">
        <v>341</v>
      </c>
    </row>
    <row r="62" customFormat="false" ht="15" hidden="false" customHeight="false" outlineLevel="0" collapsed="false">
      <c r="B62" s="12" t="s">
        <v>84</v>
      </c>
      <c r="C62" s="16" t="n">
        <f aca="false">Assumptions!C58</f>
        <v>72000</v>
      </c>
      <c r="D62" s="17"/>
    </row>
    <row r="63" customFormat="false" ht="15" hidden="false" customHeight="false" outlineLevel="0" collapsed="false">
      <c r="B63" s="7" t="s">
        <v>342</v>
      </c>
      <c r="C63" s="38" t="n">
        <f aca="false">Assumptions!C57</f>
        <v>150</v>
      </c>
      <c r="D63" s="10" t="s">
        <v>343</v>
      </c>
    </row>
    <row r="65" customFormat="false" ht="16.15" hidden="false" customHeight="false" outlineLevel="0" collapsed="false">
      <c r="B65" s="5" t="s">
        <v>344</v>
      </c>
    </row>
    <row r="66" customFormat="false" ht="15" hidden="false" customHeight="false" outlineLevel="0" collapsed="false">
      <c r="B66" s="25" t="s">
        <v>345</v>
      </c>
      <c r="C66" s="25" t="s">
        <v>299</v>
      </c>
      <c r="D66" s="25" t="s">
        <v>346</v>
      </c>
    </row>
    <row r="67" customFormat="false" ht="15" hidden="false" customHeight="false" outlineLevel="0" collapsed="false">
      <c r="B67" s="7" t="s">
        <v>347</v>
      </c>
      <c r="C67" s="38" t="n">
        <f aca="false">D17</f>
        <v>221575</v>
      </c>
      <c r="D67" s="10" t="s">
        <v>348</v>
      </c>
    </row>
    <row r="68" customFormat="false" ht="15" hidden="false" customHeight="false" outlineLevel="0" collapsed="false">
      <c r="B68" s="7" t="s">
        <v>349</v>
      </c>
      <c r="C68" s="38" t="n">
        <f aca="false">Assumptions!C37*Assumptions!C24</f>
        <v>26129.0322580645</v>
      </c>
      <c r="D68" s="10" t="s">
        <v>350</v>
      </c>
    </row>
    <row r="69" customFormat="false" ht="15" hidden="false" customHeight="false" outlineLevel="0" collapsed="false">
      <c r="B69" s="7" t="s">
        <v>351</v>
      </c>
      <c r="C69" s="38" t="n">
        <f aca="false">Assumptions!C73/12*Assumptions!C24+Assumptions!C74/12*Assumptions!C24+Assumptions!C75*Assumptions!C24+Assumptions!C76*Assumptions!C24</f>
        <v>54262.6728110599</v>
      </c>
      <c r="D69" s="10" t="s">
        <v>352</v>
      </c>
    </row>
    <row r="70" customFormat="false" ht="15" hidden="false" customHeight="false" outlineLevel="0" collapsed="false">
      <c r="B70" s="7" t="s">
        <v>353</v>
      </c>
      <c r="C70" s="38" t="n">
        <f aca="false">D36</f>
        <v>245000</v>
      </c>
      <c r="D70" s="10" t="s">
        <v>354</v>
      </c>
    </row>
    <row r="71" customFormat="false" ht="15" hidden="false" customHeight="false" outlineLevel="0" collapsed="false">
      <c r="B71" s="7" t="s">
        <v>112</v>
      </c>
      <c r="C71" s="38" t="n">
        <f aca="false">C44</f>
        <v>80000</v>
      </c>
      <c r="D71" s="10" t="s">
        <v>355</v>
      </c>
    </row>
    <row r="72" customFormat="false" ht="15" hidden="false" customHeight="false" outlineLevel="0" collapsed="false">
      <c r="B72" s="7" t="s">
        <v>127</v>
      </c>
      <c r="C72" s="38" t="n">
        <f aca="false">Assumptions!C91</f>
        <v>33000</v>
      </c>
      <c r="D72" s="10" t="s">
        <v>356</v>
      </c>
    </row>
    <row r="73" customFormat="false" ht="15" hidden="false" customHeight="false" outlineLevel="0" collapsed="false">
      <c r="B73" s="7" t="s">
        <v>357</v>
      </c>
      <c r="C73" s="38" t="n">
        <f aca="false">Assumptions!C112</f>
        <v>106875</v>
      </c>
      <c r="D73" s="10" t="s">
        <v>358</v>
      </c>
    </row>
    <row r="74" customFormat="false" ht="15" hidden="false" customHeight="false" outlineLevel="0" collapsed="false">
      <c r="B74" s="12" t="s">
        <v>359</v>
      </c>
      <c r="C74" s="16" t="n">
        <f aca="false">SUM(C67:C73)</f>
        <v>766841.705069125</v>
      </c>
      <c r="D74" s="17"/>
    </row>
    <row r="75" customFormat="false" ht="15" hidden="false" customHeight="false" outlineLevel="0" collapsed="false">
      <c r="B75" s="7" t="s">
        <v>360</v>
      </c>
      <c r="C75" s="38" t="n">
        <f aca="false">C74*Assumptions!C93</f>
        <v>115026.255760369</v>
      </c>
      <c r="D75" s="10" t="s">
        <v>361</v>
      </c>
    </row>
    <row r="76" customFormat="false" ht="15" hidden="false" customHeight="false" outlineLevel="0" collapsed="false">
      <c r="B76" s="61" t="s">
        <v>362</v>
      </c>
      <c r="C76" s="62" t="n">
        <f aca="false">C74+C75</f>
        <v>881867.960829493</v>
      </c>
      <c r="D76" s="63"/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36" t="s">
        <v>363</v>
      </c>
    </row>
    <row r="3" customFormat="false" ht="15" hidden="false" customHeight="false" outlineLevel="0" collapsed="false">
      <c r="B3" s="37" t="s">
        <v>364</v>
      </c>
      <c r="C3" s="37"/>
      <c r="D3" s="37"/>
    </row>
    <row r="5" customFormat="false" ht="15" hidden="false" customHeight="false" outlineLevel="0" collapsed="false">
      <c r="B5" s="25" t="s">
        <v>345</v>
      </c>
      <c r="C5" s="25" t="s">
        <v>365</v>
      </c>
      <c r="D5" s="25" t="s">
        <v>346</v>
      </c>
    </row>
    <row r="6" customFormat="false" ht="15" hidden="false" customHeight="false" outlineLevel="0" collapsed="false">
      <c r="B6" s="7" t="s">
        <v>366</v>
      </c>
      <c r="C6" s="38" t="n">
        <f aca="false">Assumptions!C37*Assumptions!C98</f>
        <v>7560</v>
      </c>
      <c r="D6" s="10" t="s">
        <v>367</v>
      </c>
    </row>
    <row r="7" customFormat="false" ht="15" hidden="false" customHeight="false" outlineLevel="0" collapsed="false">
      <c r="B7" s="7" t="s">
        <v>368</v>
      </c>
      <c r="C7" s="38" t="n">
        <f aca="false">Assumptions!C73/12+Assumptions!C74/12+Assumptions!C75+Assumptions!C77</f>
        <v>15083.3333333333</v>
      </c>
      <c r="D7" s="10" t="s">
        <v>369</v>
      </c>
    </row>
    <row r="8" customFormat="false" ht="15" hidden="false" customHeight="false" outlineLevel="0" collapsed="false">
      <c r="B8" s="7" t="s">
        <v>370</v>
      </c>
      <c r="C8" s="38" t="n">
        <f aca="false">Assumptions!C96*Assumptions!C10*Assumptions!C23</f>
        <v>11935</v>
      </c>
      <c r="D8" s="10" t="s">
        <v>371</v>
      </c>
    </row>
    <row r="9" customFormat="false" ht="15" hidden="false" customHeight="false" outlineLevel="0" collapsed="false">
      <c r="B9" s="7" t="s">
        <v>372</v>
      </c>
      <c r="C9" s="38" t="n">
        <f aca="false">Assumptions!C97*Assumptions!C14*Assumptions!C23</f>
        <v>4882.5</v>
      </c>
      <c r="D9" s="10" t="s">
        <v>371</v>
      </c>
    </row>
    <row r="10" customFormat="false" ht="15" hidden="false" customHeight="false" outlineLevel="0" collapsed="false">
      <c r="B10" s="7" t="s">
        <v>373</v>
      </c>
      <c r="C10" s="38" t="n">
        <f aca="false">Assumptions!C44*Assumptions!C43</f>
        <v>1500</v>
      </c>
      <c r="D10" s="10" t="s">
        <v>374</v>
      </c>
    </row>
    <row r="11" customFormat="false" ht="15" hidden="false" customHeight="false" outlineLevel="0" collapsed="false">
      <c r="B11" s="7" t="s">
        <v>375</v>
      </c>
      <c r="C11" s="38" t="n">
        <f aca="false">Assumptions!C62*Assumptions!C64</f>
        <v>2250</v>
      </c>
      <c r="D11" s="10" t="s">
        <v>376</v>
      </c>
    </row>
    <row r="12" customFormat="false" ht="15" hidden="false" customHeight="false" outlineLevel="0" collapsed="false">
      <c r="B12" s="7" t="s">
        <v>377</v>
      </c>
      <c r="C12" s="38" t="n">
        <f aca="false">Assumptions!C83/12</f>
        <v>2083.33333333333</v>
      </c>
      <c r="D12" s="10" t="s">
        <v>378</v>
      </c>
    </row>
    <row r="13" customFormat="false" ht="15" hidden="false" customHeight="false" outlineLevel="0" collapsed="false">
      <c r="B13" s="7" t="s">
        <v>379</v>
      </c>
      <c r="C13" s="38" t="n">
        <f aca="false">IF(Assumptions!C84="Yes",Assumptions!C86/12,0)</f>
        <v>0</v>
      </c>
      <c r="D13" s="10" t="s">
        <v>380</v>
      </c>
    </row>
    <row r="14" customFormat="false" ht="15" hidden="false" customHeight="false" outlineLevel="0" collapsed="false">
      <c r="B14" s="7" t="s">
        <v>381</v>
      </c>
      <c r="C14" s="38" t="n">
        <f aca="false">Assumptions!C113/12</f>
        <v>890.625</v>
      </c>
      <c r="D14" s="10" t="s">
        <v>382</v>
      </c>
    </row>
    <row r="15" customFormat="false" ht="15" hidden="false" customHeight="false" outlineLevel="0" collapsed="false">
      <c r="B15" s="7" t="s">
        <v>383</v>
      </c>
      <c r="C15" s="38" t="n">
        <f aca="false">Assumptions!C59</f>
        <v>2700</v>
      </c>
      <c r="D15" s="10" t="s">
        <v>384</v>
      </c>
    </row>
    <row r="16" customFormat="false" ht="15" hidden="false" customHeight="false" outlineLevel="0" collapsed="false">
      <c r="B16" s="64" t="s">
        <v>385</v>
      </c>
      <c r="C16" s="65" t="n">
        <f aca="false">SUM(C6:C15)</f>
        <v>48884.7916666667</v>
      </c>
      <c r="D16" s="66"/>
    </row>
    <row r="17" customFormat="false" ht="15" hidden="false" customHeight="false" outlineLevel="0" collapsed="false">
      <c r="B17" s="61" t="s">
        <v>386</v>
      </c>
      <c r="C17" s="62" t="n">
        <f aca="false">C16*12</f>
        <v>586617.5</v>
      </c>
      <c r="D17" s="63"/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2026-07-28T20:22:30Z</dcterms:created>
  <dc:creator>openpyxl</dc:creator>
  <dc:description/>
  <dc:language>en-US</dc:language>
  <cp:lastModifiedBy/>
  <dcterms:modified xsi:type="dcterms:W3CDTF">2026-07-28T16:22:35Z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