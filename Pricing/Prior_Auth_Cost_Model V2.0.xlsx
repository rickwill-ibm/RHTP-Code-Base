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richardwilliams/Documents/Prior Authorization Rebuild/Pricing/"/>
    </mc:Choice>
  </mc:AlternateContent>
  <xr:revisionPtr revIDLastSave="0" documentId="8_{B5D1912A-1CFC-4D4F-BA15-73E5CF6BF08B}" xr6:coauthVersionLast="47" xr6:coauthVersionMax="47" xr10:uidLastSave="{00000000-0000-0000-0000-000000000000}"/>
  <bookViews>
    <workbookView xWindow="0" yWindow="740" windowWidth="30240" windowHeight="18900" tabRatio="500" xr2:uid="{00000000-000D-0000-FFFF-FFFF00000000}"/>
  </bookViews>
  <sheets>
    <sheet name="Assumptions" sheetId="1" r:id="rId1"/>
    <sheet name="Task Cost Detail" sheetId="2" r:id="rId2"/>
    <sheet name="Cost Summary" sheetId="3" r:id="rId3"/>
    <sheet name="Ongoing Run-Rate" sheetId="4" r:id="rId4"/>
  </sheets>
  <definedNames>
    <definedName name="_xlnm._FilterDatabase" localSheetId="1" hidden="1">'Task Cost Detail'!$A$1:$G$58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7" i="4" l="1"/>
  <c r="C14" i="4"/>
  <c r="C13" i="4"/>
  <c r="C12" i="4"/>
  <c r="C11" i="4"/>
  <c r="C9" i="4"/>
  <c r="C8" i="4"/>
  <c r="C7" i="4"/>
  <c r="C64" i="3"/>
  <c r="C62" i="3"/>
  <c r="C61" i="3"/>
  <c r="C55" i="3"/>
  <c r="C50" i="3"/>
  <c r="C49" i="3"/>
  <c r="C44" i="3"/>
  <c r="C43" i="3"/>
  <c r="C42" i="3"/>
  <c r="C45" i="3" s="1"/>
  <c r="C72" i="3" s="1"/>
  <c r="C41" i="3"/>
  <c r="C36" i="3"/>
  <c r="D35" i="3"/>
  <c r="C35" i="3"/>
  <c r="D34" i="3"/>
  <c r="D33" i="3"/>
  <c r="C33" i="3"/>
  <c r="D32" i="3"/>
  <c r="C32" i="3"/>
  <c r="D16" i="3"/>
  <c r="C16" i="3"/>
  <c r="C15" i="3"/>
  <c r="C14" i="3"/>
  <c r="C13" i="3"/>
  <c r="C12" i="3"/>
  <c r="C11" i="3"/>
  <c r="C10" i="3"/>
  <c r="C9" i="3"/>
  <c r="C8" i="3"/>
  <c r="C7" i="3"/>
  <c r="C17" i="3" s="1"/>
  <c r="E59" i="2"/>
  <c r="F58" i="2"/>
  <c r="G58" i="2" s="1"/>
  <c r="F57" i="2"/>
  <c r="G57" i="2" s="1"/>
  <c r="F56" i="2"/>
  <c r="G56" i="2" s="1"/>
  <c r="F55" i="2"/>
  <c r="G55" i="2" s="1"/>
  <c r="F54" i="2"/>
  <c r="G54" i="2" s="1"/>
  <c r="F53" i="2"/>
  <c r="G53" i="2" s="1"/>
  <c r="D13" i="3" s="1"/>
  <c r="F52" i="2"/>
  <c r="G52" i="2" s="1"/>
  <c r="D27" i="3" s="1"/>
  <c r="F51" i="2"/>
  <c r="G51" i="2" s="1"/>
  <c r="F50" i="2"/>
  <c r="G50" i="2" s="1"/>
  <c r="F49" i="2"/>
  <c r="G49" i="2" s="1"/>
  <c r="F48" i="2"/>
  <c r="G48" i="2" s="1"/>
  <c r="F47" i="2"/>
  <c r="G47" i="2" s="1"/>
  <c r="F46" i="2"/>
  <c r="G46" i="2" s="1"/>
  <c r="F45" i="2"/>
  <c r="G45" i="2" s="1"/>
  <c r="F44" i="2"/>
  <c r="G44" i="2" s="1"/>
  <c r="F43" i="2"/>
  <c r="G43" i="2" s="1"/>
  <c r="F42" i="2"/>
  <c r="G42" i="2" s="1"/>
  <c r="F41" i="2"/>
  <c r="G41" i="2" s="1"/>
  <c r="F40" i="2"/>
  <c r="G40" i="2" s="1"/>
  <c r="F39" i="2"/>
  <c r="G39" i="2" s="1"/>
  <c r="F38" i="2"/>
  <c r="G38" i="2" s="1"/>
  <c r="F37" i="2"/>
  <c r="G37" i="2" s="1"/>
  <c r="F36" i="2"/>
  <c r="G36" i="2" s="1"/>
  <c r="F35" i="2"/>
  <c r="G35" i="2" s="1"/>
  <c r="F34" i="2"/>
  <c r="G34" i="2" s="1"/>
  <c r="F33" i="2"/>
  <c r="G33" i="2" s="1"/>
  <c r="F32" i="2"/>
  <c r="G32" i="2" s="1"/>
  <c r="F31" i="2"/>
  <c r="G31" i="2" s="1"/>
  <c r="F30" i="2"/>
  <c r="G30" i="2" s="1"/>
  <c r="F29" i="2"/>
  <c r="G29" i="2" s="1"/>
  <c r="F28" i="2"/>
  <c r="G28" i="2" s="1"/>
  <c r="F27" i="2"/>
  <c r="G27" i="2" s="1"/>
  <c r="F26" i="2"/>
  <c r="G26" i="2" s="1"/>
  <c r="F25" i="2"/>
  <c r="G25" i="2" s="1"/>
  <c r="F24" i="2"/>
  <c r="G24" i="2" s="1"/>
  <c r="F23" i="2"/>
  <c r="G23" i="2" s="1"/>
  <c r="F22" i="2"/>
  <c r="G22" i="2" s="1"/>
  <c r="F21" i="2"/>
  <c r="G21" i="2" s="1"/>
  <c r="F20" i="2"/>
  <c r="G20" i="2" s="1"/>
  <c r="D23" i="3" s="1"/>
  <c r="F19" i="2"/>
  <c r="G19" i="2" s="1"/>
  <c r="F18" i="2"/>
  <c r="G18" i="2" s="1"/>
  <c r="F17" i="2"/>
  <c r="G17" i="2" s="1"/>
  <c r="F16" i="2"/>
  <c r="G16" i="2" s="1"/>
  <c r="F15" i="2"/>
  <c r="G15" i="2" s="1"/>
  <c r="F14" i="2"/>
  <c r="G14" i="2" s="1"/>
  <c r="F13" i="2"/>
  <c r="G13" i="2" s="1"/>
  <c r="F12" i="2"/>
  <c r="G12" i="2" s="1"/>
  <c r="F11" i="2"/>
  <c r="G11" i="2" s="1"/>
  <c r="F10" i="2"/>
  <c r="G10" i="2" s="1"/>
  <c r="F9" i="2"/>
  <c r="G9" i="2" s="1"/>
  <c r="F8" i="2"/>
  <c r="G8" i="2" s="1"/>
  <c r="F7" i="2"/>
  <c r="G7" i="2" s="1"/>
  <c r="F6" i="2"/>
  <c r="G6" i="2" s="1"/>
  <c r="F5" i="2"/>
  <c r="G5" i="2" s="1"/>
  <c r="F4" i="2"/>
  <c r="G4" i="2" s="1"/>
  <c r="D10" i="3" s="1"/>
  <c r="F3" i="2"/>
  <c r="G3" i="2" s="1"/>
  <c r="F2" i="2"/>
  <c r="G2" i="2" s="1"/>
  <c r="C171" i="1"/>
  <c r="C173" i="1" s="1"/>
  <c r="C175" i="1" s="1"/>
  <c r="C15" i="4" s="1"/>
  <c r="C167" i="1"/>
  <c r="C56" i="3" s="1"/>
  <c r="C165" i="1"/>
  <c r="C176" i="1" s="1"/>
  <c r="C54" i="3" s="1"/>
  <c r="C153" i="1"/>
  <c r="C73" i="3" s="1"/>
  <c r="C137" i="1"/>
  <c r="C18" i="4" s="1"/>
  <c r="C136" i="1"/>
  <c r="C76" i="3" s="1"/>
  <c r="C134" i="1"/>
  <c r="C133" i="1"/>
  <c r="C59" i="1"/>
  <c r="C16" i="4" s="1"/>
  <c r="C58" i="1"/>
  <c r="C63" i="3" s="1"/>
  <c r="C53" i="1"/>
  <c r="C60" i="3" s="1"/>
  <c r="C44" i="1"/>
  <c r="C31" i="3" s="1"/>
  <c r="C37" i="1"/>
  <c r="C69" i="3" s="1"/>
  <c r="C24" i="1"/>
  <c r="C70" i="3" s="1"/>
  <c r="D12" i="3" l="1"/>
  <c r="D22" i="3"/>
  <c r="D7" i="3"/>
  <c r="G59" i="2"/>
  <c r="D21" i="3"/>
  <c r="D9" i="3"/>
  <c r="D15" i="3"/>
  <c r="D14" i="3"/>
  <c r="D8" i="3"/>
  <c r="D26" i="3"/>
  <c r="D11" i="3"/>
  <c r="D24" i="3"/>
  <c r="D25" i="3"/>
  <c r="D31" i="3"/>
  <c r="C172" i="1"/>
  <c r="C52" i="3" s="1"/>
  <c r="D36" i="3"/>
  <c r="C6" i="4"/>
  <c r="C51" i="3"/>
  <c r="C75" i="3"/>
  <c r="C10" i="4"/>
  <c r="D37" i="3" l="1"/>
  <c r="C71" i="3" s="1"/>
  <c r="D17" i="3"/>
  <c r="C68" i="3" s="1"/>
  <c r="C174" i="1"/>
  <c r="C19" i="4"/>
  <c r="C20" i="4" s="1"/>
  <c r="C53" i="3" l="1"/>
  <c r="C74" i="3"/>
  <c r="C77" i="3"/>
  <c r="C78" i="3" l="1"/>
  <c r="C79" i="3"/>
</calcChain>
</file>

<file path=xl/sharedStrings.xml><?xml version="1.0" encoding="utf-8"?>
<sst xmlns="http://schemas.openxmlformats.org/spreadsheetml/2006/main" count="671" uniqueCount="508">
  <si>
    <t>Prior Authorization Modernization — Cost Model</t>
  </si>
  <si>
    <t>Assumptions</t>
  </si>
  <si>
    <t>Prepared for Richard Williams, IBM  •  July 2026</t>
  </si>
  <si>
    <t>All figures below are illustrative planning-level placeholders (not quotes) — cells in blue are inputs. Replace with actual rates/quotes when known.</t>
  </si>
  <si>
    <t>Labor Rates ($ / day, blended)</t>
  </si>
  <si>
    <t>Role</t>
  </si>
  <si>
    <t>Daily Rate ($)</t>
  </si>
  <si>
    <t>Note</t>
  </si>
  <si>
    <t>Tech Lead</t>
  </si>
  <si>
    <t>Illustrative U.S. blended consulting rate — replace with actual rate</t>
  </si>
  <si>
    <t>Backend/FHIR Engineer 1</t>
  </si>
  <si>
    <t>Backend/FHIR Engineer 2</t>
  </si>
  <si>
    <t>Data/Integration Engineer</t>
  </si>
  <si>
    <t>Frontend Engineer</t>
  </si>
  <si>
    <t>QA Engineer</t>
  </si>
  <si>
    <t>Security Engineer</t>
  </si>
  <si>
    <t>Product/Clinical SME</t>
  </si>
  <si>
    <t>Project Manager</t>
  </si>
  <si>
    <t>Clinical Policy Reviewer</t>
  </si>
  <si>
    <t>Schedule Assumptions</t>
  </si>
  <si>
    <t>Working days per week</t>
  </si>
  <si>
    <t>Standard 5-day work week</t>
  </si>
  <si>
    <t>Build duration (weeks)</t>
  </si>
  <si>
    <t>From the Implementation Plan — total project End Week</t>
  </si>
  <si>
    <t>Avg. working days per month</t>
  </si>
  <si>
    <t>52 weeks x 5 days / 12 months</t>
  </si>
  <si>
    <t>Build duration (months)</t>
  </si>
  <si>
    <t>Calculated from build duration in weeks</t>
  </si>
  <si>
    <t>Cloud Hosting — Infrastructure (Monthly, USD)</t>
  </si>
  <si>
    <t>Cloud Provider</t>
  </si>
  <si>
    <t>Azure</t>
  </si>
  <si>
    <t>Select AWS or Azure — drives the Total Infrastructure cost below. Default set to Azure per the Idaho Medicaid CMS-0057 assessment (Infrastructure Q1: Azure preferred for state projects)</t>
  </si>
  <si>
    <t>Component</t>
  </si>
  <si>
    <t>AWS ($/mo)</t>
  </si>
  <si>
    <t>Azure ($/mo)</t>
  </si>
  <si>
    <t>Compute — CRD/DTR/PAS microservices</t>
  </si>
  <si>
    <t>AWS Fargate (ECS) / Azure Container Apps</t>
  </si>
  <si>
    <t>Managed FHIR Datastore</t>
  </si>
  <si>
    <t>AWS HealthLake / Azure Health Data Services (FHIR service)</t>
  </si>
  <si>
    <t>PA Aggregation DB &amp; Object Storage</t>
  </si>
  <si>
    <t>RDS Postgres + S3 / Azure Cosmos DB + Blob Storage</t>
  </si>
  <si>
    <t>DTR SMART App Hosting (CDN)</t>
  </si>
  <si>
    <t>CloudFront + S3 / Azure Static Web Apps + CDN</t>
  </si>
  <si>
    <t>API Gateway / Load Balancer</t>
  </si>
  <si>
    <t>AWS ALB + API Gateway / Azure API Management</t>
  </si>
  <si>
    <t>Backup &amp; Disaster Recovery</t>
  </si>
  <si>
    <t>Cross-region backup and point-in-time recovery</t>
  </si>
  <si>
    <t>Monitoring &amp; Logging</t>
  </si>
  <si>
    <t>Amazon CloudWatch / Azure Monitor</t>
  </si>
  <si>
    <t>Security — WAF, Key Mgmt, Secrets</t>
  </si>
  <si>
    <t>AWS WAF + KMS / Azure Front Door WAF + Key Vault</t>
  </si>
  <si>
    <t>Total Infrastructure (Monthly, Selected Provider)</t>
  </si>
  <si>
    <t>Integration Scope — EMR Connections</t>
  </si>
  <si>
    <t>EMR connections included in base build</t>
  </si>
  <si>
    <t>Base build (Phase 4b) integrates one EMR via generic US Core v3</t>
  </si>
  <si>
    <t>Total EMR connections in scope</t>
  </si>
  <si>
    <t>Idaho: Epic + Oracle Health/Cerner + MEDITECH + 1 platform for remaining independent/CAH facilities — see Idaho EMR &amp; Facility Landscape below</t>
  </si>
  <si>
    <t>Cost per additional EMR connection (one-time)</t>
  </si>
  <si>
    <t>Vendor app-store certification (e.g., Epic App Orchard), sandbox integration &amp; testing</t>
  </si>
  <si>
    <t>Cost per additional EMR connection (monthly, ongoing)</t>
  </si>
  <si>
    <t>Ongoing vendor fees + maintenance per connected EMR</t>
  </si>
  <si>
    <t>Additional EMR connections</t>
  </si>
  <si>
    <t>Total minus what the base build already includes</t>
  </si>
  <si>
    <t>Idaho EMR &amp; Facility Landscape</t>
  </si>
  <si>
    <t>Research-based facility counts per EMR platform, current as of July 2026 (see chat for sources). The ‘Platform’ rows above cover the one-time engineering cost to integrate with each EMR VENDOR once; every individual hospital/facility running that vendor still needs its own site rollout — that per-facility cost is priced separately below.</t>
  </si>
  <si>
    <t>EMR Platform</t>
  </si>
  <si>
    <t>Idaho Hospital Facilities</t>
  </si>
  <si>
    <t>Note / Source</t>
  </si>
  <si>
    <t>Epic</t>
  </si>
  <si>
    <t>St. Luke's Health System (6 hospitals) + Kootenai Health (1) — both confirmed Epic</t>
  </si>
  <si>
    <t>Oracle Health / Cerner</t>
  </si>
  <si>
    <t>Saint Alphonsus Idaho facilities (Boise + Nampa); Trinity Health parent may migrate to Epic over time — monitor</t>
  </si>
  <si>
    <t>MEDITECH</t>
  </si>
  <si>
    <t>HCA/Eastern Idaho Regional Medical Center (1, confirmed Expanse) + ~8 estimated critical access hospitals (MEDITECH targets 1-200 bed facilities)</t>
  </si>
  <si>
    <t>Other / Unconfirmed (CPSI, Cerner CommunityWorks, athenahealth, independent)</t>
  </si>
  <si>
    <t>Remaining Idaho hospitals, mostly small critical access facilities — vendor mix not individually confirmed, needs direct payer/facility outreach</t>
  </si>
  <si>
    <t>Total Idaho Hospital Facilities</t>
  </si>
  <si>
    <t>Idaho: 55 hospitals total, incl. 27 CMS-designated critical access hospitals (Becker's Hospital Review / RHT Compass, 2025)</t>
  </si>
  <si>
    <t>Facilities in scope for initial deployment</t>
  </si>
  <si>
    <t>Default = the 3 confirmed platforms only (Epic 7 + Oracle Health/Cerner 2 + MEDITECH 9); expand once the 'Other/Unconfirmed' 37 are vendor-confirmed</t>
  </si>
  <si>
    <t>Cost per facility install (one-time)</t>
  </si>
  <si>
    <t>Site-specific go-live: order-set/workflow validation, local IT coordination, provider orientation — much lighter than the platform-level build</t>
  </si>
  <si>
    <t>Cost per facility install (monthly, ongoing)</t>
  </si>
  <si>
    <t>Per-site monitoring, credential rotation, minor local config support</t>
  </si>
  <si>
    <t>Total Facility Rollout Cost (one-time)</t>
  </si>
  <si>
    <t>Total Facility Connectivity Cost (monthly, ongoing)</t>
  </si>
  <si>
    <t>Idaho Medicaid -- CMS-0057 Assessment Findings (Reference)</t>
  </si>
  <si>
    <t>Source: CMS-0057 Assessment Questionnaire completed by Idaho Medicaid, dated 7/27/2026. These are real, payer-reported figures used to ground and sanity-check the assumptions above -- most cells below are reference-only (not formula inputs) unless noted.</t>
  </si>
  <si>
    <t>Finding</t>
  </si>
  <si>
    <t>Value / Answer</t>
  </si>
  <si>
    <t>Cost model implication</t>
  </si>
  <si>
    <t>Total covered lives (all plans)</t>
  </si>
  <si>
    <t>307,929 (FFS/Medicaid); 305,346 Dental/NEMT/BH; 26,546 Duals</t>
  </si>
  <si>
    <t>Cross-check only -- not directly used in labor/infra formulas</t>
  </si>
  <si>
    <t>In-network providers</t>
  </si>
  <si>
    <t>32,000</t>
  </si>
  <si>
    <t>Includes all provider/facility NPIs, not just physicians -- do not conflate with EMR platform or facility-install counts above</t>
  </si>
  <si>
    <t>Medical PAs per month / Drug (pharmacy) PAs per month</t>
  </si>
  <si>
    <t>3,300 / 3,910 (~86,760/year combined)</t>
  </si>
  <si>
    <t>No PA-volume-driven cost exists yet in this model (EDI/watsonx lines are flat monthly estimates) -- flagged as a refinement opportunity</t>
  </si>
  <si>
    <t>Top EMR(s) used by network providers</t>
  </si>
  <si>
    <t>Only Epic confirmed; 2nd and 3rd EMR left blank on the assessment</t>
  </si>
  <si>
    <t>Payer itself lacks full network EMR visibility -- see new 'Provider EMR &amp; Network Discovery' one-time cost above</t>
  </si>
  <si>
    <t>Total number of medical guidelines/policies</t>
  </si>
  <si>
    <t>Left blank -- unknown even internally</t>
  </si>
  <si>
    <t>Confirms the Policy Ingestion 'Policies per payer' assumption is a true placeholder industry-wide, not just a gap in this model -- see new 'Payer Policy Count Discovery' cost above</t>
  </si>
  <si>
    <t>Medical guideline vendor</t>
  </si>
  <si>
    <t>MCG (not InterQual, not both)</t>
  </si>
  <si>
    <t>Third-Party Licensing above updated: InterQual defaulted to $0</t>
  </si>
  <si>
    <t>Guidelines already codified/computable?</t>
  </si>
  <si>
    <t>Not answered (blank)</t>
  </si>
  <si>
    <t>If MCG content is already API-accessible/computable, Policy Ingestion review cost could be materially lower than modeled -- confirm with payer/vendor before finalizing</t>
  </si>
  <si>
    <t>PA required by service line</t>
  </si>
  <si>
    <t>NOT required for: Radiology, High-Tech Radiology, Radiation Therapy, MSK, Sleep Studies, Chiropractic, Post-Acute Care. Required for: Inpatient Admissions, Transplants, Cardiology, Behavioral Health, PT/OT/ST, DME, Diabetic Supplies, Home Health, Air Ambulance</t>
  </si>
  <si>
    <t>Imaging/radiology -- the flagship use case in this solution's design -- is PA-EXEMPT for Idaho Medicaid; re-scope DTR rule priorities toward inpatient/transplant/cardiology/behavioral-health/DME instead</t>
  </si>
  <si>
    <t>Current PA exchange channel (all 18 service lines)</t>
  </si>
  <si>
    <t>100% X12 278/275 + File-Based + Web Portal -- zero FHIR API or non-FHIR API in use anywhere</t>
  </si>
  <si>
    <t>EDI Translator (X12 278/275) is the critical near-term path, not a secondary fallback -- Claim/$submit (FHIR) has no live counterpart yet at this payer</t>
  </si>
  <si>
    <t>Distinct UM vendors administering PA</t>
  </si>
  <si>
    <t>Telligen (most medical), Magellan (behavioral health), Prime (pharmacy/diabetic supplies), Internal (home health, air ambulance, DD waiver)</t>
  </si>
  <si>
    <t>Drove the new 'Additional UM sub-vendors per payer' cost above</t>
  </si>
  <si>
    <t>Actual average PA turnaround time (TAT)</t>
  </si>
  <si>
    <t>289 hours 14 min (~12 days) for pharmacy, mostly fax-based; contractual target is 7 days (168 hrs) standard / 72 hrs urgent; medical TAT not quantified ('dependent on business units')</t>
  </si>
  <si>
    <t>Current process already misses today's own contractual SLA -- strengthens the automation ROI case; not a direct cost input</t>
  </si>
  <si>
    <t>Auto-approval today</t>
  </si>
  <si>
    <t>Yes for pharmacy; No for medical</t>
  </si>
  <si>
    <t>Medical PA (this solution's focus) starts from a zero-automation baseline</t>
  </si>
  <si>
    <t>CMS-0057 Prior Authorization API maturity (self-rated 1-5)</t>
  </si>
  <si>
    <t>2 -- Initial: planned but not yet implemented</t>
  </si>
  <si>
    <t>Confirms the dual-mode CRD client/fallback recommendation in the architecture plan; payer has no live PA API today</t>
  </si>
  <si>
    <t>Cloud platform preference</t>
  </si>
  <si>
    <t>Azure for state projects (vendor-dependent otherwise)</t>
  </si>
  <si>
    <t>Cloud Provider default above changed from AWS to Azure</t>
  </si>
  <si>
    <t>Security protocols supported (OAuth2, SAML, UDAP, SMART on FHIR, mTLS)</t>
  </si>
  <si>
    <t>All left blank/unanswered on the assessment</t>
  </si>
  <si>
    <t>No confirmed security/auth posture yet -- treat OAuth2/SMART launch design as needing direct payer discovery, not an assumption</t>
  </si>
  <si>
    <t>Existing EMR integration</t>
  </si>
  <si>
    <t>'No -- we do not currently integrate with EMRs'</t>
  </si>
  <si>
    <t>Confirms all EMR connection work in this model is greenfield, not incremental</t>
  </si>
  <si>
    <t>Integration Scope — Payer Connections</t>
  </si>
  <si>
    <t>A single 'payer' relationship is rarely one integration point -- the Idaho Medicaid CMS-0057 assessment shows PA is administered through 4+ independent UM vendors by service line (Telligen for most medical, Magellan for behavioral health, Prime for pharmacy/diabetic supplies, Internal for home health/air ambulance), all via X12/File/Portal today, none via FHIR API. Sub-vendor integrations are priced separately below.</t>
  </si>
  <si>
    <t>Production payer connections in scope</t>
  </si>
  <si>
    <t>Each payer requires its own CRD/DTR/PAS endpoint onboarding &amp; trading partner agreement</t>
  </si>
  <si>
    <t>Cost per payer onboarding (one-time)</t>
  </si>
  <si>
    <t>Endpoint conformance testing, EDI 278/275 mapping validation, trading partner agreement, go-live certification</t>
  </si>
  <si>
    <t>Cost per payer connection (monthly, ongoing)</t>
  </si>
  <si>
    <t>Monitoring + per-payer clearinghouse/EDI fees</t>
  </si>
  <si>
    <t>Additional UM sub-vendors per payer (avg)</t>
  </si>
  <si>
    <t>Idaho Medicaid: Magellan (behavioral health) + Prime (pharmacy/diabetic supplies) + Internal (home health/air ambulance), beyond the primary UM vendor already priced above</t>
  </si>
  <si>
    <t>Cost per UM sub-vendor integration (one-time)</t>
  </si>
  <si>
    <t>Lighter than a full payer onboarding -- reuses the parent payer's trading partner agreement</t>
  </si>
  <si>
    <t>Cost per UM sub-vendor integration (monthly, ongoing)</t>
  </si>
  <si>
    <t>Monitoring + sub-vendor-specific EDI/file-feed maintenance</t>
  </si>
  <si>
    <t>Other Endpoints</t>
  </si>
  <si>
    <t>EDI clearinghouse connection setup (one-time)</t>
  </si>
  <si>
    <t>One-time trading-partner setup, distinct from the monthly translator fee below</t>
  </si>
  <si>
    <t>Additional HIE / data-source connections</t>
  </si>
  <si>
    <t>State HIE or other external clinical data source — optional, defaults to none</t>
  </si>
  <si>
    <t>Cost per additional HIE connection (one-time)</t>
  </si>
  <si>
    <t>Only applies if the count above is &gt; 0</t>
  </si>
  <si>
    <t>Third-Party Licensing</t>
  </si>
  <si>
    <t>Item</t>
  </si>
  <si>
    <t>Cost</t>
  </si>
  <si>
    <t>Milliman Care Guidelines API (annual)</t>
  </si>
  <si>
    <t>Idaho Medicaid CMS-0057 assessment (Q23) confirms MCG as the sole guideline vendor -- this line represents that MCG license; confirm exact fee with vendor</t>
  </si>
  <si>
    <t>InterQual API (annual)</t>
  </si>
  <si>
    <t>Set to $0 by default -- Idaho Medicaid assessment shows MCG only, not InterQual; re-enable only if a specific payer confirms InterQual use</t>
  </si>
  <si>
    <t>EDI Clearinghouse / Translator (monthly)</t>
  </si>
  <si>
    <t>Transaction-based estimate for X12 278/275</t>
  </si>
  <si>
    <t>watsonx / GenAI Usage — Build Phase (monthly)</t>
  </si>
  <si>
    <t>Lower volume during build/test</t>
  </si>
  <si>
    <t>watsonx / GenAI Usage — Post-Launch (monthly)</t>
  </si>
  <si>
    <t>Estimated production volume</t>
  </si>
  <si>
    <t>Infor Cloverleaf — Optional COTS Integration Engine</t>
  </si>
  <si>
    <t>Infor Cloverleaf is a healthcare-focused HL7/FHIR/Da Vinci-capable integration engine that could serve as (or supplement) the custom-built EDI Translator line above. Infor does not publish list pricing -- market benchmarks show roughly $15K-$30K per interface per year in license fees, plus $100K-$400K in professional services for a mid-market deployment (source: public pricing aggregators, not an Infor quote). Figures below reflect Richard's estimate ($100K/year license, $200K one-time install/setup), which falls squarely in that benchmark range.</t>
  </si>
  <si>
    <t>Include Infor Cloverleaf?</t>
  </si>
  <si>
    <t>Yes</t>
  </si>
  <si>
    <t>Toggle to No to exclude from all totals -- e.g., if the custom-built EDI Translator is used instead of a COTS engine</t>
  </si>
  <si>
    <t>Infor Cloverleaf annual license</t>
  </si>
  <si>
    <t>Estimate (Richard) -- Infor quotes custom; market range roughly $55K-$120K+/year depending on interface count</t>
  </si>
  <si>
    <t>Infor Cloverleaf implementation &amp; setup (one-time)</t>
  </si>
  <si>
    <t>Estimate (Richard) -- mid-market professional services for interface engines typically run $100K-$400K</t>
  </si>
  <si>
    <t>CMS-0057-F APIs — Patient Access, Provider Access, Payer-to-Payer</t>
  </si>
  <si>
    <t>CMS-0057-F requires four FHIR APIs by 1/1/2027: Prior Authorization (the core scope of this entire build, above), Patient Access, Provider Access, and Payer-to-Payer. This section prices the three that are additive to the Prior Auth build. If Infor Cloverleaf is included above, these three API interfaces are assumed to be built and hosted on that platform rather than as custom FHIR server code -- the labor figures below are lighter than a from-scratch build would require as a result; set Cloverleaf to No and increase these figures if building custom.</t>
  </si>
  <si>
    <t>Patient Access API (Enhancement)</t>
  </si>
  <si>
    <t>Idaho Medicaid already operates a Patient Access API via Onyx (CMS-9115-F, confirmed in the CMS-0057 assessment) -- this is an enhancement to add prior-auth status/decision data and upgrade to SMART App Launch 2.0, not a from-scratch build.</t>
  </si>
  <si>
    <t>Patient Access API enhancement (one-time)</t>
  </si>
  <si>
    <t>Add prior-auth data classes + SMART App Launch 2.0 upgrade to existing Onyx-hosted API</t>
  </si>
  <si>
    <t>Patient Access API — incremental vendor fee (monthly, ongoing)</t>
  </si>
  <si>
    <t>Incremental fee on top of existing Onyx contract</t>
  </si>
  <si>
    <t>Provider Access API (Net New Build)</t>
  </si>
  <si>
    <t>No equivalent exists today. Requires FHIR Bulk Data Access IG v1.0.0, USCDI data classes, backend-services (SMART Backend Services) authentication, and patient-provider attribution logic to determine which providers can pull which patients' data.</t>
  </si>
  <si>
    <t>Provider Access API build (one-time)</t>
  </si>
  <si>
    <t>FHIR endpoint + Bulk Data Access IG + attribution logic + backend-services auth</t>
  </si>
  <si>
    <t>Provider Access API hosting &amp; maintenance (monthly, ongoing)</t>
  </si>
  <si>
    <t>Production hosting, monitoring, attribution data refresh</t>
  </si>
  <si>
    <t>Payer-to-Payer API (Net New Build + Consent Process)</t>
  </si>
  <si>
    <t>No equivalent exists today. Requires the FHIR API itself (profiled per Da Vinci PDex), a patient opt-in/consent workflow at enrollment and plan-switch, and CMS-mandated patient educational materials about the data-sharing option.</t>
  </si>
  <si>
    <t>Payer-to-Payer API build (one-time)</t>
  </si>
  <si>
    <t>FHIR endpoint profiled per Da Vinci PDex Implementation Guide</t>
  </si>
  <si>
    <t>Patient opt-in / consent management workflow (one-time)</t>
  </si>
  <si>
    <t>Enrollment + plan-switch consent capture, storage, and revocation UI</t>
  </si>
  <si>
    <t>Patient educational materials (one-time)</t>
  </si>
  <si>
    <t>CMS-mandated member communications about the data-sharing option</t>
  </si>
  <si>
    <t>Payer-to-Payer API &amp; consent operations (monthly, ongoing)</t>
  </si>
  <si>
    <t>Hosting + ongoing consent tracking/revocation processing</t>
  </si>
  <si>
    <t>Prior Payer Trading Partner Connections (Payer-to-Payer, Supply Side)</t>
  </si>
  <si>
    <t>This is the other direction of Payer-to-Payer: actually connecting to the prior/concurrent payers a member is requesting data FROM. PLACEHOLDER -- modeled as direct bilateral connections to the largest Idaho-market MA/commercial carriers (e.g., Blue Cross of Idaho, Regence, Molina/SelectHealth, UnitedHealthcare, Humana); Idaho had 48 active Medicare Advantage plans in 2026 across a smaller number of parent organizations. In practice many payers exchange via a shared national payer-to-payer network/hub rather than pure bilateral builds -- confirm hub participation strategy (e.g., a CAQH-style utility) before finalizing this count, as it could substantially reduce the per-connection cost below.</t>
  </si>
  <si>
    <t>Prior payer trading partners in scope</t>
  </si>
  <si>
    <t>PLACEHOLDER -- major Idaho-market MA/commercial payers; confirm actual count once hub-vs-bilateral strategy is set</t>
  </si>
  <si>
    <t>Cost per prior payer connection (one-time)</t>
  </si>
  <si>
    <t>Trading partner agreement, FHIR consumer client build/test against that payer's Payer-to-Payer API</t>
  </si>
  <si>
    <t>Cost per prior payer connection (monthly, ongoing)</t>
  </si>
  <si>
    <t>Monitoring + credential rotation</t>
  </si>
  <si>
    <t>Total Prior Payer Connections (one-time)</t>
  </si>
  <si>
    <t>Total Prior Payer Connections (monthly, ongoing)</t>
  </si>
  <si>
    <t>Total CMS-0057-F APIs (one-time)</t>
  </si>
  <si>
    <t>Total CMS-0057-F APIs (monthly, ongoing)</t>
  </si>
  <si>
    <t>HIPAA &amp; Compliance Certification</t>
  </si>
  <si>
    <t>HIPAA Risk Assessment &amp; Gap Remediation (one-time)</t>
  </si>
  <si>
    <t>Third-party HIPAA Security Rule risk assessment ahead of go-live</t>
  </si>
  <si>
    <t>BAA Legal Review &amp; Execution (one-time)</t>
  </si>
  <si>
    <t>Legal review/execution of Business Associate Agreements with EMR/payer partners</t>
  </si>
  <si>
    <t>SOC 2 Type II Readiness + Audit — Year 1 (one-time)</t>
  </si>
  <si>
    <t>Common trust requirement for payer/EMR trading partners</t>
  </si>
  <si>
    <t>SOC 2 Type II Annual Renewal (ongoing/year)</t>
  </si>
  <si>
    <t>Recurring annual audit after Year 1</t>
  </si>
  <si>
    <t>Include HITRUST CSF Certification?</t>
  </si>
  <si>
    <t>No</t>
  </si>
  <si>
    <t>Optional upgrade — only if required by a specific payer/EMR trading partner</t>
  </si>
  <si>
    <t>HITRUST CSF Certification (one-time)</t>
  </si>
  <si>
    <t>Only applied to totals if 'Include HITRUST' above is Yes</t>
  </si>
  <si>
    <t>HITRUST CSF Annual Renewal (ongoing/year)</t>
  </si>
  <si>
    <t>One-Time Costs (Other)</t>
  </si>
  <si>
    <t>External Security Penetration Test</t>
  </si>
  <si>
    <t>One-time, ahead of go-live</t>
  </si>
  <si>
    <t>UAT Logistics &amp; Clinical SME Stipends</t>
  </si>
  <si>
    <t>One-time, hardening sprint</t>
  </si>
  <si>
    <t>Provider EMR &amp; Network Discovery</t>
  </si>
  <si>
    <t>Idaho Medicaid's own CMS-0057 assessment left 2 of 3 top-EMR fields blank -- the payer itself does not have full visibility into its network's EMR mix; budget a direct survey/outreach effort</t>
  </si>
  <si>
    <t>Payer Policy Count Discovery &amp; Inventory</t>
  </si>
  <si>
    <t>Idaho Medicaid's assessment left 'Total number of medical guidelines' (Q20) blank -- confirm the real policy count/library per payer before finalizing the Policy Ingestion budget below</t>
  </si>
  <si>
    <t>Total One-Time Costs (Other)</t>
  </si>
  <si>
    <t>Contingency %</t>
  </si>
  <si>
    <t>Applied to Labor + Infrastructure + Licensing + Integration + Compliance + One-Time subtotal</t>
  </si>
  <si>
    <t>Post Go-Live Support (Ongoing, Monthly)</t>
  </si>
  <si>
    <t>Backend/FHIR Support Engineer allocation (FTE)</t>
  </si>
  <si>
    <t>Ongoing production support</t>
  </si>
  <si>
    <t>QA Support allocation (FTE)</t>
  </si>
  <si>
    <t>Ongoing regression/monitoring support</t>
  </si>
  <si>
    <t>Infra scale-up factor, post-launch</t>
  </si>
  <si>
    <t>Applied to build-phase infra monthly total for production load</t>
  </si>
  <si>
    <t>Policy Ingestion &amp; Clinical Review (Intelligent Policy Engine -&gt; DTR Rules)</t>
  </si>
  <si>
    <t>Every payer medical policy the Intelligent Policy Engine converts into a DTR Questionnaire+CQL rule set must be clinically reviewed and signed off before use — this section is unscoped in the base 57-task build plan (S0-03 only validates the pipeline on one sample policy) and needs its own headcount and per-document cost.</t>
  </si>
  <si>
    <t>Policies per payer — initial ingestion scope</t>
  </si>
  <si>
    <t>PLACEHOLDER — actual policy library size is unknown; confirm the real count with each payer and update this cell</t>
  </si>
  <si>
    <t>Total policies — initial ingestion</t>
  </si>
  <si>
    <t>Production payer connections (above) x policies per payer</t>
  </si>
  <si>
    <t>New / revised policies per payer, per year</t>
  </si>
  <si>
    <t>Illustrative — payers typically revise ~15-25% of active policies annually plus add new ones</t>
  </si>
  <si>
    <t>Total policies processed — annual (ongoing)</t>
  </si>
  <si>
    <t>Production payer connections (above) x new/revised policies per payer per year</t>
  </si>
  <si>
    <t>Clinical Policy Reviewer hours per working day</t>
  </si>
  <si>
    <t>Standard full workday</t>
  </si>
  <si>
    <t>Review hours per document — initial ingestion</t>
  </si>
  <si>
    <t>Read source policy, verify AI-extracted JSON/Questionnaire/CQL mapping, validate ICD-10/CPT code sets, sign off</t>
  </si>
  <si>
    <t>Review hours per document — annual revision</t>
  </si>
  <si>
    <t>Lighter delta-review against an already-approved baseline</t>
  </si>
  <si>
    <t>Clinical Policy Reviewer hourly rate</t>
  </si>
  <si>
    <t>Clinical Policy Reviewer daily rate (Labor Rates above) / hours per day</t>
  </si>
  <si>
    <t>Cost per document — initial ingestion</t>
  </si>
  <si>
    <t>Reviewer hourly rate x initial review hours per document</t>
  </si>
  <si>
    <t>Cost per document — annual revision</t>
  </si>
  <si>
    <t>Reviewer hourly rate x revision review hours per document</t>
  </si>
  <si>
    <t>Total Initial Policy Review Cost (one-time)</t>
  </si>
  <si>
    <t>Total Annual Policy Revision Review Cost (ongoing)</t>
  </si>
  <si>
    <t>Implied reviewer FTEs to clear initial backlog within build window</t>
  </si>
  <si>
    <t>Total initial review hours / (build weeks x days/week x hours/day) — staffing guide only</t>
  </si>
  <si>
    <t>ID</t>
  </si>
  <si>
    <t>Phase</t>
  </si>
  <si>
    <t>Task</t>
  </si>
  <si>
    <t>Owner Role</t>
  </si>
  <si>
    <t>Person-Days</t>
  </si>
  <si>
    <t>Task Cost ($)</t>
  </si>
  <si>
    <t>S0-01</t>
  </si>
  <si>
    <t>S0</t>
  </si>
  <si>
    <t>Repo &amp; Environment Review</t>
  </si>
  <si>
    <t>S0-02</t>
  </si>
  <si>
    <t>Cut feature/phase4-crd-dtr-pas-integration Branch</t>
  </si>
  <si>
    <t>S0-03</t>
  </si>
  <si>
    <t>Intelligent Policy Engine Schema Spike</t>
  </si>
  <si>
    <t>S0-04</t>
  </si>
  <si>
    <t>Milliman/InterQual API Access &amp; Licensing Confirmation</t>
  </si>
  <si>
    <t>S0-05</t>
  </si>
  <si>
    <t>Payer Endpoint Directory &amp; Capability Schema</t>
  </si>
  <si>
    <t>S0-06</t>
  </si>
  <si>
    <t>CI/CD &amp; Environment Setup</t>
  </si>
  <si>
    <t>S0-07</t>
  </si>
  <si>
    <t>Confidence-Threshold Policy Workshop</t>
  </si>
  <si>
    <t>4A-01</t>
  </si>
  <si>
    <t>4A</t>
  </si>
  <si>
    <t>CDS Hooks Client</t>
  </si>
  <si>
    <t>4A-02</t>
  </si>
  <si>
    <t>Prior Auth Service Orchestrator (Skeleton)</t>
  </si>
  <si>
    <t>4A-03</t>
  </si>
  <si>
    <t>Eligibility &amp; Enrollment Check</t>
  </si>
  <si>
    <t>4A-04</t>
  </si>
  <si>
    <t>Provider Network Status Check</t>
  </si>
  <si>
    <t>4A-05</t>
  </si>
  <si>
    <t>Milliman/InterQual Guideline Check</t>
  </si>
  <si>
    <t>4A-06</t>
  </si>
  <si>
    <t>PA-Required Policy Lookup</t>
  </si>
  <si>
    <t>4A-07</t>
  </si>
  <si>
    <t>CDS Card / Coverage Information Builder</t>
  </si>
  <si>
    <t>4A-08</t>
  </si>
  <si>
    <t>CRD Checklist UI Screen</t>
  </si>
  <si>
    <t>4A-09</t>
  </si>
  <si>
    <t>Manual-Review Routing (Fail Path)</t>
  </si>
  <si>
    <t>4A-10</t>
  </si>
  <si>
    <t>Phase 4a Test Pass</t>
  </si>
  <si>
    <t>4A-11</t>
  </si>
  <si>
    <t>Phase 4a Demo &amp; Stakeholder Review</t>
  </si>
  <si>
    <t>4B-01</t>
  </si>
  <si>
    <t>4B</t>
  </si>
  <si>
    <t>PA Aggregation FHIR Server Provisioning</t>
  </si>
  <si>
    <t>4B-02</t>
  </si>
  <si>
    <t>EMR US Core v3 Pull Service</t>
  </si>
  <si>
    <t>4B-03</t>
  </si>
  <si>
    <t>Patient Access API Pull Service</t>
  </si>
  <si>
    <t>4B-04</t>
  </si>
  <si>
    <t>Merge, Priority &amp; Provenance Logic</t>
  </si>
  <si>
    <t>4B-05</t>
  </si>
  <si>
    <t>Questionnaire Package Retrieval</t>
  </si>
  <si>
    <t>4B-06</t>
  </si>
  <si>
    <t>DTR SMART App Launch</t>
  </si>
  <si>
    <t>4B-07</t>
  </si>
  <si>
    <t>CQL Execution Engine Integration</t>
  </si>
  <si>
    <t>4B-08</t>
  </si>
  <si>
    <t>Medical Necessity Tree UI</t>
  </si>
  <si>
    <t>4B-09</t>
  </si>
  <si>
    <t>CDex Attachment Upload</t>
  </si>
  <si>
    <t>4B-10</t>
  </si>
  <si>
    <t>Re-run Match on Upload</t>
  </si>
  <si>
    <t>4B-11</t>
  </si>
  <si>
    <t>Phase 4b Test Pass</t>
  </si>
  <si>
    <t>4B-12</t>
  </si>
  <si>
    <t>Phase 4b Demo &amp; Stakeholder Review</t>
  </si>
  <si>
    <t>4C-01</t>
  </si>
  <si>
    <t>4C</t>
  </si>
  <si>
    <t>PASBundle Assembly Service</t>
  </si>
  <si>
    <t>4C-02</t>
  </si>
  <si>
    <t>Claim/$submit Integration</t>
  </si>
  <si>
    <t>4C-03</t>
  </si>
  <si>
    <t>EDI Translator (X12 278/275)</t>
  </si>
  <si>
    <t>4C-04</t>
  </si>
  <si>
    <t>Channel Selection Logic</t>
  </si>
  <si>
    <t>4C-05</t>
  </si>
  <si>
    <t>Review &amp; Submit UI Screen</t>
  </si>
  <si>
    <t>4C-06</t>
  </si>
  <si>
    <t>PA Number &amp; Case Record Generation</t>
  </si>
  <si>
    <t>4C-07</t>
  </si>
  <si>
    <t>PA Portal Status Vocabulary Update</t>
  </si>
  <si>
    <t>4C-08</t>
  </si>
  <si>
    <t>Phase 4c Test Pass</t>
  </si>
  <si>
    <t>4D-01</t>
  </si>
  <si>
    <t>4D</t>
  </si>
  <si>
    <t>Evidence Record PDF Generator</t>
  </si>
  <si>
    <t>4D-02</t>
  </si>
  <si>
    <t>FHIR Subscription (rest-hook) Listener</t>
  </si>
  <si>
    <t>4D-03</t>
  </si>
  <si>
    <t>Claim/$inquiry Manual Fallback</t>
  </si>
  <si>
    <t>4D-04</t>
  </si>
  <si>
    <t>ClaimResponse Processing &amp; Status Mapping</t>
  </si>
  <si>
    <t>4D-05</t>
  </si>
  <si>
    <t>Case Detail / Timeline UI</t>
  </si>
  <si>
    <t>4D-06</t>
  </si>
  <si>
    <t>Resubmit vs. Update/Cancel Logic</t>
  </si>
  <si>
    <t>4D-07</t>
  </si>
  <si>
    <t>Phase 4d Test Pass</t>
  </si>
  <si>
    <t>4E-01</t>
  </si>
  <si>
    <t>4E</t>
  </si>
  <si>
    <t>Batch Worklist Queue Service</t>
  </si>
  <si>
    <t>4E-02</t>
  </si>
  <si>
    <t>Back-Office Worklist UI</t>
  </si>
  <si>
    <t>4E-03</t>
  </si>
  <si>
    <t>Staff Assignment &amp; Override Workflow</t>
  </si>
  <si>
    <t>4E-04</t>
  </si>
  <si>
    <t>Audit Trail for Manual Overrides</t>
  </si>
  <si>
    <t>4E-05</t>
  </si>
  <si>
    <t>Phase 4e Test Pass</t>
  </si>
  <si>
    <t>HD-01</t>
  </si>
  <si>
    <t>HD</t>
  </si>
  <si>
    <t>End-to-End Integration Testing</t>
  </si>
  <si>
    <t>HD-02</t>
  </si>
  <si>
    <t>Security Review</t>
  </si>
  <si>
    <t>HD-03</t>
  </si>
  <si>
    <t>CMS-0057-F Compliance Validation</t>
  </si>
  <si>
    <t>HD-04</t>
  </si>
  <si>
    <t>Performance / Load Testing</t>
  </si>
  <si>
    <t>HD-05</t>
  </si>
  <si>
    <t>UAT with Clinical Stakeholders</t>
  </si>
  <si>
    <t>HD-06</t>
  </si>
  <si>
    <t>Production Readiness Review &amp; Go-Live Checklist</t>
  </si>
  <si>
    <t>HD-07</t>
  </si>
  <si>
    <t>Documentation &amp; Handoff</t>
  </si>
  <si>
    <t>TOTAL</t>
  </si>
  <si>
    <t>Cost Summary — Implementation (Build) Cost</t>
  </si>
  <si>
    <t>Scope: 1 payer set of test profiles is built/tested in Phase 4b; production EMR and payer connection counts are set in Assumptions.</t>
  </si>
  <si>
    <t>Labor Cost by Role</t>
  </si>
  <si>
    <t>Cost ($)</t>
  </si>
  <si>
    <t>Total Labor Cost</t>
  </si>
  <si>
    <t>Labor Cost by Phase</t>
  </si>
  <si>
    <t>Phase Name</t>
  </si>
  <si>
    <t>Sprint 0 — Foundation &amp; Design Spike</t>
  </si>
  <si>
    <t>Phase 4a — CRD Integration &amp; Checklist UI</t>
  </si>
  <si>
    <t>Phase 4b — DTR, Aggregation FHIR Server &amp; Necessity Tree UI</t>
  </si>
  <si>
    <t>Phase 4c — PAS Submission &amp; Channel Routing</t>
  </si>
  <si>
    <t>Phase 4d — Evidence Record &amp; Status Sync</t>
  </si>
  <si>
    <t>Phase 4e — Back-Office Batch Worklist</t>
  </si>
  <si>
    <t>Hardening — Integration, Security, Compliance, UAT</t>
  </si>
  <si>
    <t>Scope Detail — EMR, Payer &amp; Other Endpoints</t>
  </si>
  <si>
    <t>Quantity</t>
  </si>
  <si>
    <t>Cost ($, one-time)</t>
  </si>
  <si>
    <t>EMR connections (additional, beyond base build)</t>
  </si>
  <si>
    <t>Payer connections (production onboarding)</t>
  </si>
  <si>
    <t>UM sub-vendor integrations (Magellan/Prime/Internal-style)</t>
  </si>
  <si>
    <t>EDI clearinghouse connection setup</t>
  </si>
  <si>
    <t>Idaho facility rollout (per-site install, one-time)</t>
  </si>
  <si>
    <t>Total EMR / Payer / Endpoint Cost</t>
  </si>
  <si>
    <t>HIPAA Risk Assessment &amp; Remediation</t>
  </si>
  <si>
    <t>BAA Legal Review &amp; Execution</t>
  </si>
  <si>
    <t>SOC 2 Type II — Year 1 (readiness + audit)</t>
  </si>
  <si>
    <t>HITRUST CSF Certification (if included)</t>
  </si>
  <si>
    <t>Total Compliance Cost</t>
  </si>
  <si>
    <t>Metric</t>
  </si>
  <si>
    <t>Value</t>
  </si>
  <si>
    <t>Production payer connections</t>
  </si>
  <si>
    <t>From Integration Scope — Payer Connections</t>
  </si>
  <si>
    <t>Policies per payer (initial scope)</t>
  </si>
  <si>
    <t>PLACEHOLDER — confirm actual policy library size per payer</t>
  </si>
  <si>
    <t>Clinically reviewed once, at launch</t>
  </si>
  <si>
    <t>Clinical Policy Reviewer hourly rate x initial review hours</t>
  </si>
  <si>
    <t>Implied Clinical Policy Reviewer FTEs (to clear initial backlog within the build window)</t>
  </si>
  <si>
    <t>Staffing guide only — see Assumptions</t>
  </si>
  <si>
    <t>New / revised policies per payer, per year (ongoing)</t>
  </si>
  <si>
    <t>Illustrative annual revision rate</t>
  </si>
  <si>
    <t>Feeds the Ongoing Run-Rate tab</t>
  </si>
  <si>
    <t>Idaho EMR &amp; Facility Rollout</t>
  </si>
  <si>
    <t>Total Idaho hospital facilities (all vendors)</t>
  </si>
  <si>
    <t>55 hospitals statewide, incl. 27 critical access hospitals</t>
  </si>
  <si>
    <t>Epic (7) + Oracle Health/Cerner (2) + MEDITECH (9) -- the 3 confirmed platforms</t>
  </si>
  <si>
    <t>Cost per facility (one-time)</t>
  </si>
  <si>
    <t>Site go-live: workflow validation, IT coordination, training</t>
  </si>
  <si>
    <t>Cost per facility (monthly, ongoing)</t>
  </si>
  <si>
    <t>Per-site monitoring, credential rotation, local support</t>
  </si>
  <si>
    <t>Implementation Cost Build-Up</t>
  </si>
  <si>
    <t>Category</t>
  </si>
  <si>
    <t>Basis</t>
  </si>
  <si>
    <t>Labor</t>
  </si>
  <si>
    <t>Sum of all 57 task costs (Task Cost Detail)</t>
  </si>
  <si>
    <t>Infrastructure (build phase)</t>
  </si>
  <si>
    <t>Monthly infra total (selected cloud provider) x build duration in months</t>
  </si>
  <si>
    <t>Third-Party Licensing (build phase)</t>
  </si>
  <si>
    <t>Milliman + InterQual (pro-rated annual) + EDI translator + watsonx, all x build months</t>
  </si>
  <si>
    <t>EMR / Payer / Other Endpoint Onboarding</t>
  </si>
  <si>
    <t>See Scope Detail above</t>
  </si>
  <si>
    <t>See HIPAA &amp; Compliance Certification above</t>
  </si>
  <si>
    <t>Security penetration test + UAT logistics</t>
  </si>
  <si>
    <t>Policy Ingestion — Initial Clinical Review</t>
  </si>
  <si>
    <t>Clinical Policy Reviewer sign-off on every policy converted to a DTR rule set at launch — see Assumptions</t>
  </si>
  <si>
    <t>Infor Cloverleaf Integration Engine (optional)</t>
  </si>
  <si>
    <t>One-time implementation + prorated annual license across build months — toggle in Assumptions</t>
  </si>
  <si>
    <t>CMS-0057-F APIs — Patient/Provider/Payer-to-Payer</t>
  </si>
  <si>
    <t>Patient Access enhancement + Provider Access build + Payer-to-Payer build/consent + prior payer connections — see Assumptions</t>
  </si>
  <si>
    <t>Subtotal</t>
  </si>
  <si>
    <t>Contingency</t>
  </si>
  <si>
    <t>Contingency % applied to subtotal</t>
  </si>
  <si>
    <t>TOTAL IMPLEMENTATION COST</t>
  </si>
  <si>
    <t>Ongoing Run-Rate — Post Go-Live (Steady State)</t>
  </si>
  <si>
    <t>Monthly and annual operating cost once the solution is live, independent of the one-time build cost.</t>
  </si>
  <si>
    <t>Monthly ($)</t>
  </si>
  <si>
    <t>Infrastructure &amp; Hosting (scaled for production)</t>
  </si>
  <si>
    <t>Build-phase infra monthly total (selected cloud provider) x post-launch scale-up factor</t>
  </si>
  <si>
    <t>Third-Party Licensing (recurring)</t>
  </si>
  <si>
    <t>Milliman/12 + InterQual/12 + EDI translator + watsonx (post-launch volume)</t>
  </si>
  <si>
    <t>Backend/FHIR Support Labor</t>
  </si>
  <si>
    <t>Support FTE allocation x daily rate x avg. working days/month</t>
  </si>
  <si>
    <t>QA Support Labor</t>
  </si>
  <si>
    <t>Additional EMR Connections (maintenance)</t>
  </si>
  <si>
    <t>Additional EMR connections x ongoing monthly rate per connection</t>
  </si>
  <si>
    <t>Payer Connections (monitoring &amp; fees)</t>
  </si>
  <si>
    <t>Production payer connections x ongoing monthly rate per connection</t>
  </si>
  <si>
    <t>UM Sub-Vendor Integrations (monitoring &amp; fees)</t>
  </si>
  <si>
    <t>Payer connections x sub-vendors per payer x ongoing monthly rate per sub-vendor</t>
  </si>
  <si>
    <t>SOC 2 Type II Annual Renewal (amortized monthly)</t>
  </si>
  <si>
    <t>Annual renewal cost spread across 12 months</t>
  </si>
  <si>
    <t>HITRUST CSF Annual Renewal (amortized monthly, if included)</t>
  </si>
  <si>
    <t>Only non-zero if HITRUST is included in Assumptions</t>
  </si>
  <si>
    <t>Policy Revision — Clinical Review (amortized monthly)</t>
  </si>
  <si>
    <t>Annual clinical review cost for new/revised payer policies, spread across 12 months</t>
  </si>
  <si>
    <t>Facility Connectivity (per-install, ongoing)</t>
  </si>
  <si>
    <t>Facilities in scope x monthly cost per facility install (Idaho EMR &amp; Facility Landscape)</t>
  </si>
  <si>
    <t>Infor Cloverleaf (annual license, amortized monthly, optional)</t>
  </si>
  <si>
    <t>Toggle in Assumptions — alternative/complement to the EDI Clearinghouse/Translator line above</t>
  </si>
  <si>
    <t>CMS-0057-F APIs — Patient/Provider/Payer-to-Payer (ongoing)</t>
  </si>
  <si>
    <t>Patient Access vendor fee + Provider Access hosting + Payer-to-Payer ops + prior payer connection monitoring</t>
  </si>
  <si>
    <t>Total Monthly Run-Rate</t>
  </si>
  <si>
    <t>Total Annual Run-Rate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</si>
</sst>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0.00\x"/>
    <numFmt numFmtId="167" formatCode="\$#,##0.00"/>
  </numFmts>
  <fonts count="18" x14ac:knownFonts="1">
    <font>
      <sz val="11"/>
      <color theme="1"/>
      <name val="Calibri"/>
      <family val="2"/>
      <charset val="1"/>
    </font>
    <font>
      <b/>
      <sz val="18"/>
      <color rgb="FF12314F"/>
      <name val="Arial"/>
      <family val="2"/>
    </font>
    <font>
      <i/>
      <sz val="12"/>
      <color rgb="FF6B7A88"/>
      <name val="Arial"/>
      <family val="2"/>
    </font>
    <font>
      <sz val="10"/>
      <color rgb="FF6B7A88"/>
      <name val="Arial"/>
      <family val="2"/>
    </font>
    <font>
      <i/>
      <sz val="9"/>
      <color rgb="FF6B7A88"/>
      <name val="Arial"/>
      <family val="2"/>
    </font>
    <font>
      <b/>
      <sz val="13"/>
      <color rgb="FF0E7C7B"/>
      <name val="Arial"/>
      <family val="2"/>
    </font>
    <font>
      <b/>
      <sz val="10"/>
      <color rgb="FFFFFFFF"/>
      <name val="Arial"/>
      <family val="2"/>
    </font>
    <font>
      <sz val="10"/>
      <color rgb="FF000000"/>
      <name val="Arial"/>
      <family val="2"/>
    </font>
    <font>
      <sz val="10"/>
      <color rgb="FF0000FF"/>
      <name val="Arial"/>
      <family val="2"/>
    </font>
    <font>
      <b/>
      <sz val="10"/>
      <name val="Arial"/>
      <family val="2"/>
    </font>
    <font>
      <b/>
      <sz val="9.5"/>
      <name val="Arial"/>
      <family val="2"/>
    </font>
    <font>
      <sz val="9.5"/>
      <name val="Arial"/>
      <family val="2"/>
    </font>
    <font>
      <b/>
      <sz val="10"/>
      <color rgb="FF0E7C7B"/>
      <name val="Arial"/>
      <family val="2"/>
    </font>
    <font>
      <sz val="9"/>
      <name val="Arial"/>
      <family val="2"/>
    </font>
    <font>
      <b/>
      <sz val="9"/>
      <name val="Arial"/>
      <family val="2"/>
    </font>
    <font>
      <b/>
      <sz val="16"/>
      <color rgb="FF12314F"/>
      <name val="Arial"/>
      <family val="2"/>
    </font>
    <font>
      <b/>
      <sz val="12"/>
      <color rgb="FFFFFFFF"/>
      <name val="Arial"/>
      <family val="2"/>
    </font>
    <font>
      <b/>
      <sz val="11"/>
      <color rgb="FFFFFFFF"/>
      <name val="Arial"/>
      <family val="2"/>
    </font>
  </fonts>
  <fills count="16">
    <fill>
      <patternFill patternType="none"/>
    </fill>
    <fill>
      <patternFill patternType="gray125"/>
    </fill>
    <fill>
      <patternFill patternType="solid">
        <fgColor rgb="FF0E7C7B"/>
        <bgColor rgb="FF008080"/>
      </patternFill>
    </fill>
    <fill>
      <patternFill patternType="solid">
        <fgColor rgb="FFFFFDE7"/>
        <bgColor rgb="FFF9F9F9"/>
      </patternFill>
    </fill>
    <fill>
      <patternFill patternType="solid">
        <fgColor rgb="FFF2F4F6"/>
        <bgColor rgb="FFF9F9F9"/>
      </patternFill>
    </fill>
    <fill>
      <patternFill patternType="solid">
        <fgColor rgb="FF6B7A88"/>
        <bgColor rgb="FF878787"/>
      </patternFill>
    </fill>
    <fill>
      <patternFill patternType="solid">
        <fgColor rgb="FF12314F"/>
        <bgColor rgb="FF333333"/>
      </patternFill>
    </fill>
    <fill>
      <patternFill patternType="solid">
        <fgColor rgb="FFEDEDED"/>
        <bgColor rgb="FFE4E9F7"/>
      </patternFill>
    </fill>
    <fill>
      <patternFill patternType="solid">
        <fgColor rgb="FFDCE9F6"/>
        <bgColor rgb="FFE4E9F7"/>
      </patternFill>
    </fill>
    <fill>
      <patternFill patternType="solid">
        <fgColor rgb="FFD9EFEE"/>
        <bgColor rgb="FFDCE9F6"/>
      </patternFill>
    </fill>
    <fill>
      <patternFill patternType="solid">
        <fgColor rgb="FFFBEAD2"/>
        <bgColor rgb="FFF3E6D8"/>
      </patternFill>
    </fill>
    <fill>
      <patternFill patternType="solid">
        <fgColor rgb="FFE4E9F7"/>
        <bgColor rgb="FFDCE9F6"/>
      </patternFill>
    </fill>
    <fill>
      <patternFill patternType="solid">
        <fgColor rgb="FFF3E6D8"/>
        <bgColor rgb="FFFBEAD2"/>
      </patternFill>
    </fill>
    <fill>
      <patternFill patternType="solid">
        <fgColor rgb="FFE7E2EC"/>
        <bgColor rgb="FFE4E9F7"/>
      </patternFill>
    </fill>
    <fill>
      <patternFill patternType="solid">
        <fgColor rgb="FFFFFF00"/>
        <bgColor indexed="64"/>
      </patternFill>
    </fill>
    <fill>
      <patternFill patternType="solid">
        <fgColor rgb="FFFF0000"/>
        <bgColor indexed="64"/>
      </patternFill>
    </fill>
  </fills>
  <borders count="2">
    <border>
      <left/>
      <right/>
      <top/>
      <bottom/>
      <diagonal/>
    </border>
    <border>
      <left style="thin">
        <color rgb="FFD0D5DA"/>
      </left>
      <right style="thin">
        <color rgb="FFD0D5DA"/>
      </right>
      <top style="thin">
        <color rgb="FFD0D5DA"/>
      </top>
      <bottom style="thin">
        <color rgb="FFD0D5DA"/>
      </bottom>
      <diagonal/>
    </border>
  </borders>
  <cellStyleXfs count="1">
    <xf numFmtId="0" fontId="0" fillId="0" borderId="0"/>
  </cellStyleXfs>
  <cellXfs count="80">
    <xf numFmtId="0" fontId="0" fillId="0" borderId="0" xfId="0"/>
    <xf numFmtId="0" fontId="4" fillId="0" borderId="0" xfId="0" applyFont="1"/>
    <xf numFmtId="0" fontId="4" fillId="0" borderId="0" xfId="0" applyFont="1" applyAlignment="1">
      <alignment vertical="top" wrapText="1"/>
    </xf>
    <xf numFmtId="0" fontId="4" fillId="0" borderId="0" xfId="0" applyFont="1" applyAlignment="1">
      <alignment wrapText="1"/>
    </xf>
    <xf numFmtId="0" fontId="1" fillId="0" borderId="0" xfId="0" applyFont="1"/>
    <xf numFmtId="0" fontId="2" fillId="0" borderId="0" xfId="0" applyFont="1"/>
    <xf numFmtId="0" fontId="3" fillId="0" borderId="0" xfId="0" applyFont="1"/>
    <xf numFmtId="0" fontId="5" fillId="0" borderId="0" xfId="0" applyFont="1"/>
    <xf numFmtId="0" fontId="6" fillId="2" borderId="0" xfId="0" applyFont="1" applyFill="1" applyAlignment="1">
      <alignment horizontal="center" vertical="center" wrapText="1"/>
    </xf>
    <xf numFmtId="0" fontId="7" fillId="0" borderId="1" xfId="0" applyFont="1" applyBorder="1"/>
    <xf numFmtId="164" fontId="8" fillId="3" borderId="1" xfId="0" applyNumberFormat="1" applyFont="1" applyFill="1" applyBorder="1"/>
    <xf numFmtId="0" fontId="0" fillId="0" borderId="1" xfId="0" applyBorder="1"/>
    <xf numFmtId="0" fontId="4" fillId="0" borderId="1" xfId="0" applyFont="1" applyBorder="1"/>
    <xf numFmtId="0" fontId="8" fillId="3" borderId="1" xfId="0" applyFont="1" applyFill="1" applyBorder="1"/>
    <xf numFmtId="0" fontId="9" fillId="4" borderId="1" xfId="0" applyFont="1" applyFill="1" applyBorder="1"/>
    <xf numFmtId="2" fontId="7" fillId="4" borderId="1" xfId="0" applyNumberFormat="1" applyFont="1" applyFill="1" applyBorder="1"/>
    <xf numFmtId="0" fontId="4" fillId="4" borderId="1" xfId="0" applyFont="1" applyFill="1" applyBorder="1"/>
    <xf numFmtId="0" fontId="9" fillId="0" borderId="1" xfId="0" applyFont="1" applyBorder="1"/>
    <xf numFmtId="164" fontId="9" fillId="4" borderId="1" xfId="0" applyNumberFormat="1" applyFont="1" applyFill="1" applyBorder="1"/>
    <xf numFmtId="0" fontId="0" fillId="4" borderId="1" xfId="0" applyFill="1" applyBorder="1"/>
    <xf numFmtId="0" fontId="6" fillId="5" borderId="0" xfId="0" applyFont="1" applyFill="1" applyAlignment="1">
      <alignment horizontal="center" vertical="center" wrapText="1"/>
    </xf>
    <xf numFmtId="0" fontId="10" fillId="0" borderId="1" xfId="0" applyFont="1" applyBorder="1"/>
    <xf numFmtId="0" fontId="11" fillId="0" borderId="1" xfId="0" applyFont="1" applyBorder="1" applyAlignment="1">
      <alignment vertical="top" wrapText="1"/>
    </xf>
    <xf numFmtId="0" fontId="4" fillId="0" borderId="1" xfId="0" applyFont="1" applyBorder="1" applyAlignment="1">
      <alignment vertical="top" wrapText="1"/>
    </xf>
    <xf numFmtId="0" fontId="12" fillId="0" borderId="0" xfId="0" applyFont="1"/>
    <xf numFmtId="165" fontId="8" fillId="3" borderId="1" xfId="0" applyNumberFormat="1" applyFont="1" applyFill="1" applyBorder="1"/>
    <xf numFmtId="2" fontId="8" fillId="3" borderId="1" xfId="0" applyNumberFormat="1" applyFont="1" applyFill="1" applyBorder="1"/>
    <xf numFmtId="166" fontId="8" fillId="3" borderId="1" xfId="0" applyNumberFormat="1" applyFont="1" applyFill="1" applyBorder="1"/>
    <xf numFmtId="167" fontId="9" fillId="4" borderId="1" xfId="0" applyNumberFormat="1" applyFont="1" applyFill="1" applyBorder="1"/>
    <xf numFmtId="164" fontId="7" fillId="0" borderId="1" xfId="0" applyNumberFormat="1" applyFont="1" applyBorder="1"/>
    <xf numFmtId="2" fontId="0" fillId="0" borderId="1" xfId="0" applyNumberFormat="1" applyBorder="1"/>
    <xf numFmtId="0" fontId="6" fillId="6" borderId="0" xfId="0" applyFont="1" applyFill="1" applyAlignment="1">
      <alignment horizontal="center" vertical="center" wrapText="1"/>
    </xf>
    <xf numFmtId="0" fontId="13" fillId="0" borderId="1" xfId="0" applyFont="1" applyBorder="1" applyAlignment="1">
      <alignment horizontal="center" vertical="center"/>
    </xf>
    <xf numFmtId="0" fontId="14" fillId="7" borderId="1" xfId="0" applyFont="1" applyFill="1" applyBorder="1" applyAlignment="1">
      <alignment horizontal="center" vertical="center"/>
    </xf>
    <xf numFmtId="0" fontId="13" fillId="0" borderId="1" xfId="0" applyFont="1" applyBorder="1" applyAlignment="1">
      <alignment horizontal="left" vertical="center"/>
    </xf>
    <xf numFmtId="164" fontId="13" fillId="0" borderId="1" xfId="0" applyNumberFormat="1" applyFont="1" applyBorder="1" applyAlignment="1">
      <alignment horizontal="center" vertical="center"/>
    </xf>
    <xf numFmtId="0" fontId="14" fillId="8" borderId="1" xfId="0" applyFont="1" applyFill="1" applyBorder="1" applyAlignment="1">
      <alignment horizontal="center" vertical="center"/>
    </xf>
    <xf numFmtId="0" fontId="14" fillId="9" borderId="1" xfId="0" applyFont="1" applyFill="1" applyBorder="1" applyAlignment="1">
      <alignment horizontal="center" vertical="center"/>
    </xf>
    <xf numFmtId="0" fontId="14" fillId="10" borderId="1" xfId="0" applyFont="1" applyFill="1" applyBorder="1" applyAlignment="1">
      <alignment horizontal="center" vertical="center"/>
    </xf>
    <xf numFmtId="0" fontId="14" fillId="11" borderId="1" xfId="0" applyFont="1" applyFill="1" applyBorder="1" applyAlignment="1">
      <alignment horizontal="center" vertical="center"/>
    </xf>
    <xf numFmtId="0" fontId="14" fillId="12" borderId="1" xfId="0" applyFont="1" applyFill="1" applyBorder="1" applyAlignment="1">
      <alignment horizontal="center" vertical="center"/>
    </xf>
    <xf numFmtId="0" fontId="14" fillId="13" borderId="1" xfId="0" applyFont="1" applyFill="1" applyBorder="1" applyAlignment="1">
      <alignment horizontal="center" vertical="center"/>
    </xf>
    <xf numFmtId="0" fontId="15" fillId="0" borderId="0" xfId="0" applyFont="1"/>
    <xf numFmtId="164" fontId="0" fillId="0" borderId="1" xfId="0" applyNumberFormat="1" applyBorder="1"/>
    <xf numFmtId="0" fontId="9" fillId="7" borderId="1" xfId="0" applyFont="1" applyFill="1" applyBorder="1"/>
    <xf numFmtId="0" fontId="7" fillId="7" borderId="1" xfId="0" applyFont="1" applyFill="1" applyBorder="1"/>
    <xf numFmtId="164" fontId="0" fillId="7" borderId="1" xfId="0" applyNumberFormat="1" applyFill="1" applyBorder="1"/>
    <xf numFmtId="0" fontId="9" fillId="8" borderId="1" xfId="0" applyFont="1" applyFill="1" applyBorder="1"/>
    <xf numFmtId="0" fontId="7" fillId="8" borderId="1" xfId="0" applyFont="1" applyFill="1" applyBorder="1"/>
    <xf numFmtId="164" fontId="0" fillId="8" borderId="1" xfId="0" applyNumberFormat="1" applyFill="1" applyBorder="1"/>
    <xf numFmtId="0" fontId="9" fillId="9" borderId="1" xfId="0" applyFont="1" applyFill="1" applyBorder="1"/>
    <xf numFmtId="0" fontId="7" fillId="9" borderId="1" xfId="0" applyFont="1" applyFill="1" applyBorder="1"/>
    <xf numFmtId="164" fontId="0" fillId="9" borderId="1" xfId="0" applyNumberFormat="1" applyFill="1" applyBorder="1"/>
    <xf numFmtId="0" fontId="9" fillId="10" borderId="1" xfId="0" applyFont="1" applyFill="1" applyBorder="1"/>
    <xf numFmtId="0" fontId="7" fillId="10" borderId="1" xfId="0" applyFont="1" applyFill="1" applyBorder="1"/>
    <xf numFmtId="164" fontId="0" fillId="10" borderId="1" xfId="0" applyNumberFormat="1" applyFill="1" applyBorder="1"/>
    <xf numFmtId="0" fontId="9" fillId="11" borderId="1" xfId="0" applyFont="1" applyFill="1" applyBorder="1"/>
    <xf numFmtId="0" fontId="7" fillId="11" borderId="1" xfId="0" applyFont="1" applyFill="1" applyBorder="1"/>
    <xf numFmtId="164" fontId="0" fillId="11" borderId="1" xfId="0" applyNumberFormat="1" applyFill="1" applyBorder="1"/>
    <xf numFmtId="0" fontId="9" fillId="12" borderId="1" xfId="0" applyFont="1" applyFill="1" applyBorder="1"/>
    <xf numFmtId="0" fontId="7" fillId="12" borderId="1" xfId="0" applyFont="1" applyFill="1" applyBorder="1"/>
    <xf numFmtId="164" fontId="0" fillId="12" borderId="1" xfId="0" applyNumberFormat="1" applyFill="1" applyBorder="1"/>
    <xf numFmtId="0" fontId="9" fillId="13" borderId="1" xfId="0" applyFont="1" applyFill="1" applyBorder="1"/>
    <xf numFmtId="0" fontId="7" fillId="13" borderId="1" xfId="0" applyFont="1" applyFill="1" applyBorder="1"/>
    <xf numFmtId="164" fontId="0" fillId="13" borderId="1" xfId="0" applyNumberFormat="1" applyFill="1" applyBorder="1"/>
    <xf numFmtId="3" fontId="0" fillId="0" borderId="1" xfId="0" applyNumberFormat="1" applyBorder="1"/>
    <xf numFmtId="0" fontId="16" fillId="6" borderId="1" xfId="0" applyFont="1" applyFill="1" applyBorder="1"/>
    <xf numFmtId="164" fontId="16" fillId="6" borderId="1" xfId="0" applyNumberFormat="1" applyFont="1" applyFill="1" applyBorder="1"/>
    <xf numFmtId="0" fontId="0" fillId="6" borderId="1" xfId="0" applyFill="1" applyBorder="1"/>
    <xf numFmtId="0" fontId="17" fillId="2" borderId="1" xfId="0" applyFont="1" applyFill="1" applyBorder="1"/>
    <xf numFmtId="164" fontId="17" fillId="2" borderId="1" xfId="0" applyNumberFormat="1" applyFont="1" applyFill="1" applyBorder="1"/>
    <xf numFmtId="0" fontId="0" fillId="2" borderId="1" xfId="0" applyFill="1" applyBorder="1"/>
    <xf numFmtId="0" fontId="10" fillId="14" borderId="1" xfId="0" applyFont="1" applyFill="1" applyBorder="1"/>
    <xf numFmtId="0" fontId="11" fillId="14" borderId="1" xfId="0" applyFont="1" applyFill="1" applyBorder="1" applyAlignment="1">
      <alignment vertical="top" wrapText="1"/>
    </xf>
    <xf numFmtId="0" fontId="0" fillId="14" borderId="0" xfId="0" applyFill="1"/>
    <xf numFmtId="0" fontId="4" fillId="14" borderId="1" xfId="0" applyFont="1" applyFill="1" applyBorder="1" applyAlignment="1">
      <alignment vertical="top" wrapText="1"/>
    </xf>
    <xf numFmtId="0" fontId="10" fillId="15" borderId="1" xfId="0" applyFont="1" applyFill="1" applyBorder="1"/>
    <xf numFmtId="0" fontId="11" fillId="15" borderId="1" xfId="0" applyFont="1" applyFill="1" applyBorder="1" applyAlignment="1">
      <alignment vertical="top" wrapText="1"/>
    </xf>
    <xf numFmtId="0" fontId="0" fillId="15" borderId="0" xfId="0" applyFill="1"/>
    <xf numFmtId="0" fontId="4" fillId="15"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9F9F9"/>
      <rgbColor rgb="FFFF00FF"/>
      <rgbColor rgb="FF00FFFF"/>
      <rgbColor rgb="FF800000"/>
      <rgbColor rgb="FF008000"/>
      <rgbColor rgb="FF000080"/>
      <rgbColor rgb="FF808000"/>
      <rgbColor rgb="FF800080"/>
      <rgbColor rgb="FF0E7C7B"/>
      <rgbColor rgb="FFD9D9D9"/>
      <rgbColor rgb="FF878787"/>
      <rgbColor rgb="FF9999FF"/>
      <rgbColor rgb="FF993366"/>
      <rgbColor rgb="FFFFFDE7"/>
      <rgbColor rgb="FFD9EFEE"/>
      <rgbColor rgb="FF660066"/>
      <rgbColor rgb="FFFF8080"/>
      <rgbColor rgb="FF0066CC"/>
      <rgbColor rgb="FFD0D5DA"/>
      <rgbColor rgb="FF000080"/>
      <rgbColor rgb="FFFF00FF"/>
      <rgbColor rgb="FFFFFF00"/>
      <rgbColor rgb="FF00FFFF"/>
      <rgbColor rgb="FF800080"/>
      <rgbColor rgb="FF800000"/>
      <rgbColor rgb="FF008080"/>
      <rgbColor rgb="FF0000FF"/>
      <rgbColor rgb="FF00CCFF"/>
      <rgbColor rgb="FFDCE9F6"/>
      <rgbColor rgb="FFEDEDED"/>
      <rgbColor rgb="FFFBEAD2"/>
      <rgbColor rgb="FFE7E2EC"/>
      <rgbColor rgb="FFF2F4F6"/>
      <rgbColor rgb="FFE4E9F7"/>
      <rgbColor rgb="FFF3E6D8"/>
      <rgbColor rgb="FF3366FF"/>
      <rgbColor rgb="FF33CCCC"/>
      <rgbColor rgb="FF99CC00"/>
      <rgbColor rgb="FFFFCC00"/>
      <rgbColor rgb="FFFF9900"/>
      <rgbColor rgb="FFC97A1D"/>
      <rgbColor rgb="FF6B7A88"/>
      <rgbColor rgb="FF969696"/>
      <rgbColor rgb="FF12314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Implementation Labor Cost by Phase</a:t>
            </a:r>
          </a:p>
        </c:rich>
      </c:tx>
      <c:overlay val="0"/>
      <c:spPr>
        <a:noFill/>
        <a:ln w="0">
          <a:noFill/>
        </a:ln>
      </c:spPr>
    </c:title>
    <c:autoTitleDeleted val="0"/>
    <c:plotArea>
      <c:layout/>
      <c:barChart>
        <c:barDir val="col"/>
        <c:grouping val="clustered"/>
        <c:varyColors val="0"/>
        <c:ser>
          <c:idx val="0"/>
          <c:order val="0"/>
          <c:tx>
            <c:strRef>
              <c:f>'Cost Summary'!$D$20</c:f>
              <c:strCache>
                <c:ptCount val="1"/>
                <c:pt idx="0">
                  <c:v>Cost ($)</c:v>
                </c:pt>
              </c:strCache>
            </c:strRef>
          </c:tx>
          <c:spPr>
            <a:solidFill>
              <a:srgbClr val="0E7C7B"/>
            </a:solidFill>
            <a:ln w="12600">
              <a:solidFill>
                <a:srgbClr val="F9F9F9"/>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9F9F9"/>
                      </a:solidFill>
                    </a:ln>
                  </c:spPr>
                </c15:leaderLines>
              </c:ext>
            </c:extLst>
          </c:dLbls>
          <c:cat>
            <c:strRef>
              <c:f>'Cost Summary'!$B$21:$B$27</c:f>
              <c:strCache>
                <c:ptCount val="7"/>
                <c:pt idx="0">
                  <c:v>S0</c:v>
                </c:pt>
                <c:pt idx="1">
                  <c:v>4A</c:v>
                </c:pt>
                <c:pt idx="2">
                  <c:v>4B</c:v>
                </c:pt>
                <c:pt idx="3">
                  <c:v>4C</c:v>
                </c:pt>
                <c:pt idx="4">
                  <c:v>4D</c:v>
                </c:pt>
                <c:pt idx="5">
                  <c:v>4E</c:v>
                </c:pt>
                <c:pt idx="6">
                  <c:v>HD</c:v>
                </c:pt>
              </c:strCache>
            </c:strRef>
          </c:cat>
          <c:val>
            <c:numRef>
              <c:f>'Cost Summary'!$D$21:$D$27</c:f>
              <c:numCache>
                <c:formatCode>\$#,##0</c:formatCode>
                <c:ptCount val="7"/>
                <c:pt idx="0">
                  <c:v>23275</c:v>
                </c:pt>
                <c:pt idx="1">
                  <c:v>43750</c:v>
                </c:pt>
                <c:pt idx="2">
                  <c:v>55150</c:v>
                </c:pt>
                <c:pt idx="3">
                  <c:v>29300</c:v>
                </c:pt>
                <c:pt idx="4">
                  <c:v>26200</c:v>
                </c:pt>
                <c:pt idx="5">
                  <c:v>17600</c:v>
                </c:pt>
                <c:pt idx="6">
                  <c:v>26300</c:v>
                </c:pt>
              </c:numCache>
            </c:numRef>
          </c:val>
          <c:extLst>
            <c:ext xmlns:c16="http://schemas.microsoft.com/office/drawing/2014/chart" uri="{C3380CC4-5D6E-409C-BE32-E72D297353CC}">
              <c16:uniqueId val="{00000000-59F3-EF47-9687-6F692AD1652F}"/>
            </c:ext>
          </c:extLst>
        </c:ser>
        <c:dLbls>
          <c:showLegendKey val="0"/>
          <c:showVal val="0"/>
          <c:showCatName val="0"/>
          <c:showSerName val="0"/>
          <c:showPercent val="0"/>
          <c:showBubbleSize val="0"/>
        </c:dLbls>
        <c:gapWidth val="150"/>
        <c:axId val="6076031"/>
        <c:axId val="75447974"/>
      </c:barChart>
      <c:catAx>
        <c:axId val="6076031"/>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Phase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5447974"/>
        <c:crosses val="autoZero"/>
        <c:auto val="1"/>
        <c:lblAlgn val="ctr"/>
        <c:lblOffset val="100"/>
        <c:noMultiLvlLbl val="0"/>
      </c:catAx>
      <c:valAx>
        <c:axId val="75447974"/>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Cost ($)</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6076031"/>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Total Implementation Cost by Category</a:t>
            </a:r>
          </a:p>
        </c:rich>
      </c:tx>
      <c:overlay val="0"/>
      <c:spPr>
        <a:noFill/>
        <a:ln w="0">
          <a:noFill/>
        </a:ln>
      </c:spPr>
    </c:title>
    <c:autoTitleDeleted val="0"/>
    <c:plotArea>
      <c:layout/>
      <c:barChart>
        <c:barDir val="bar"/>
        <c:grouping val="clustered"/>
        <c:varyColors val="0"/>
        <c:ser>
          <c:idx val="0"/>
          <c:order val="0"/>
          <c:tx>
            <c:strRef>
              <c:f>'Cost Summary'!$C$67</c:f>
              <c:strCache>
                <c:ptCount val="1"/>
                <c:pt idx="0">
                  <c:v>Cost ($)</c:v>
                </c:pt>
              </c:strCache>
            </c:strRef>
          </c:tx>
          <c:spPr>
            <a:solidFill>
              <a:srgbClr val="C97A1D"/>
            </a:solidFill>
            <a:ln w="12600">
              <a:solidFill>
                <a:srgbClr val="F9F9F9"/>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9F9F9"/>
                      </a:solidFill>
                    </a:ln>
                  </c:spPr>
                </c15:leaderLines>
              </c:ext>
            </c:extLst>
          </c:dLbls>
          <c:cat>
            <c:strRef>
              <c:f>'Cost Summary'!$B$68:$B$76</c:f>
              <c:strCache>
                <c:ptCount val="9"/>
                <c:pt idx="0">
                  <c:v>Labor</c:v>
                </c:pt>
                <c:pt idx="1">
                  <c:v>Infrastructure (build phase)</c:v>
                </c:pt>
                <c:pt idx="2">
                  <c:v>Third-Party Licensing (build phase)</c:v>
                </c:pt>
                <c:pt idx="3">
                  <c:v>EMR / Payer / Other Endpoint Onboarding</c:v>
                </c:pt>
                <c:pt idx="4">
                  <c:v>HIPAA &amp; Compliance Certification</c:v>
                </c:pt>
                <c:pt idx="5">
                  <c:v>One-Time Costs (Other)</c:v>
                </c:pt>
                <c:pt idx="6">
                  <c:v>Policy Ingestion — Initial Clinical Review</c:v>
                </c:pt>
                <c:pt idx="7">
                  <c:v>Infor Cloverleaf Integration Engine (optional)</c:v>
                </c:pt>
                <c:pt idx="8">
                  <c:v>CMS-0057-F APIs — Patient/Provider/Payer-to-Payer</c:v>
                </c:pt>
              </c:strCache>
            </c:strRef>
          </c:cat>
          <c:val>
            <c:numRef>
              <c:f>'Cost Summary'!$C$68:$C$76</c:f>
              <c:numCache>
                <c:formatCode>\$#,##0</c:formatCode>
                <c:ptCount val="9"/>
                <c:pt idx="0">
                  <c:v>221575</c:v>
                </c:pt>
                <c:pt idx="1">
                  <c:v>28907.83410138249</c:v>
                </c:pt>
                <c:pt idx="2">
                  <c:v>35253.456221198161</c:v>
                </c:pt>
                <c:pt idx="3">
                  <c:v>317000</c:v>
                </c:pt>
                <c:pt idx="4">
                  <c:v>80000</c:v>
                </c:pt>
                <c:pt idx="5">
                  <c:v>68000</c:v>
                </c:pt>
                <c:pt idx="6">
                  <c:v>106875</c:v>
                </c:pt>
                <c:pt idx="7">
                  <c:v>234562.21198156683</c:v>
                </c:pt>
                <c:pt idx="8">
                  <c:v>516000</c:v>
                </c:pt>
              </c:numCache>
            </c:numRef>
          </c:val>
          <c:extLst>
            <c:ext xmlns:c16="http://schemas.microsoft.com/office/drawing/2014/chart" uri="{C3380CC4-5D6E-409C-BE32-E72D297353CC}">
              <c16:uniqueId val="{00000000-F956-1347-B596-0D1058C84DFB}"/>
            </c:ext>
          </c:extLst>
        </c:ser>
        <c:dLbls>
          <c:showLegendKey val="0"/>
          <c:showVal val="0"/>
          <c:showCatName val="0"/>
          <c:showSerName val="0"/>
          <c:showPercent val="0"/>
          <c:showBubbleSize val="0"/>
        </c:dLbls>
        <c:gapWidth val="150"/>
        <c:axId val="73900978"/>
        <c:axId val="16562332"/>
      </c:barChart>
      <c:catAx>
        <c:axId val="73900978"/>
        <c:scaling>
          <c:orientation val="minMax"/>
        </c:scaling>
        <c:delete val="0"/>
        <c:axPos val="l"/>
        <c:title>
          <c:tx>
            <c:rich>
              <a:bodyPr rot="-5400000"/>
              <a:lstStyle/>
              <a:p>
                <a:pPr>
                  <a:defRPr sz="1300" b="0" u="none" strike="noStrike">
                    <a:uFillTx/>
                    <a:latin typeface="Arial"/>
                  </a:defRPr>
                </a:pPr>
                <a:r>
                  <a:rPr sz="1000" b="1" u="none" strike="noStrike">
                    <a:solidFill>
                      <a:srgbClr val="000000"/>
                    </a:solidFill>
                    <a:uFillTx/>
                    <a:latin typeface="Calibri"/>
                  </a:rPr>
                  <a:t>Cost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16562332"/>
        <c:crosses val="autoZero"/>
        <c:auto val="1"/>
        <c:lblAlgn val="ctr"/>
        <c:lblOffset val="100"/>
        <c:noMultiLvlLbl val="0"/>
      </c:catAx>
      <c:valAx>
        <c:axId val="16562332"/>
        <c:scaling>
          <c:orientation val="minMax"/>
        </c:scaling>
        <c:delete val="0"/>
        <c:axPos val="b"/>
        <c:majorGridlines>
          <c:spPr>
            <a:ln w="9360">
              <a:solidFill>
                <a:srgbClr val="878787"/>
              </a:solidFill>
              <a:round/>
            </a:ln>
          </c:spPr>
        </c:majorGridlines>
        <c:title>
          <c:tx>
            <c:rich>
              <a:bodyPr rot="0"/>
              <a:lstStyle/>
              <a:p>
                <a:pPr>
                  <a:defRPr sz="1300" b="0" u="none" strike="noStrike">
                    <a:uFillTx/>
                    <a:latin typeface="Arial"/>
                  </a:defRPr>
                </a:pPr>
                <a:r>
                  <a:rPr sz="1000" b="1" u="none" strike="noStrike">
                    <a:solidFill>
                      <a:srgbClr val="000000"/>
                    </a:solidFill>
                    <a:uFillTx/>
                    <a:latin typeface="Calibri"/>
                  </a:rPr>
                  <a:t>Category</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390097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19</xdr:row>
      <xdr:rowOff>0</xdr:rowOff>
    </xdr:from>
    <xdr:to>
      <xdr:col>15</xdr:col>
      <xdr:colOff>255960</xdr:colOff>
      <xdr:row>34</xdr:row>
      <xdr:rowOff>187560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66</xdr:row>
      <xdr:rowOff>0</xdr:rowOff>
    </xdr:from>
    <xdr:to>
      <xdr:col>15</xdr:col>
      <xdr:colOff>255960</xdr:colOff>
      <xdr:row>82</xdr:row>
      <xdr:rowOff>11880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76"/>
  <sheetViews>
    <sheetView showGridLines="0" tabSelected="1" topLeftCell="A72" zoomScale="226" zoomScaleNormal="226" workbookViewId="0">
      <selection activeCell="B72" sqref="B72"/>
    </sheetView>
  </sheetViews>
  <sheetFormatPr baseColWidth="10" defaultColWidth="8.6640625" defaultRowHeight="15" x14ac:dyDescent="0.2"/>
  <cols>
    <col min="1" max="1" width="2" customWidth="1"/>
    <col min="2" max="2" width="42" customWidth="1"/>
    <col min="3" max="4" width="15" customWidth="1"/>
    <col min="5" max="5" width="54" customWidth="1"/>
  </cols>
  <sheetData>
    <row r="2" spans="2:5" ht="23" x14ac:dyDescent="0.25">
      <c r="B2" s="4" t="s">
        <v>0</v>
      </c>
    </row>
    <row r="3" spans="2:5" ht="16" x14ac:dyDescent="0.2">
      <c r="B3" s="5" t="s">
        <v>1</v>
      </c>
    </row>
    <row r="4" spans="2:5" x14ac:dyDescent="0.2">
      <c r="B4" s="6" t="s">
        <v>2</v>
      </c>
    </row>
    <row r="5" spans="2:5" ht="27.75" customHeight="1" x14ac:dyDescent="0.2">
      <c r="B5" s="3" t="s">
        <v>3</v>
      </c>
      <c r="C5" s="3"/>
      <c r="D5" s="3"/>
      <c r="E5" s="3"/>
    </row>
    <row r="7" spans="2:5" ht="17" x14ac:dyDescent="0.2">
      <c r="B7" s="7" t="s">
        <v>4</v>
      </c>
    </row>
    <row r="8" spans="2:5" x14ac:dyDescent="0.2">
      <c r="B8" s="8" t="s">
        <v>5</v>
      </c>
      <c r="C8" s="8" t="s">
        <v>6</v>
      </c>
      <c r="E8" s="8" t="s">
        <v>7</v>
      </c>
    </row>
    <row r="9" spans="2:5" x14ac:dyDescent="0.2">
      <c r="B9" s="9" t="s">
        <v>8</v>
      </c>
      <c r="C9" s="10">
        <v>1450</v>
      </c>
      <c r="D9" s="11"/>
      <c r="E9" s="12" t="s">
        <v>9</v>
      </c>
    </row>
    <row r="10" spans="2:5" x14ac:dyDescent="0.2">
      <c r="B10" s="9" t="s">
        <v>10</v>
      </c>
      <c r="C10" s="10">
        <v>1100</v>
      </c>
      <c r="D10" s="11"/>
      <c r="E10" s="12" t="s">
        <v>9</v>
      </c>
    </row>
    <row r="11" spans="2:5" x14ac:dyDescent="0.2">
      <c r="B11" s="9" t="s">
        <v>11</v>
      </c>
      <c r="C11" s="10">
        <v>1100</v>
      </c>
      <c r="D11" s="11"/>
      <c r="E11" s="12" t="s">
        <v>9</v>
      </c>
    </row>
    <row r="12" spans="2:5" x14ac:dyDescent="0.2">
      <c r="B12" s="9" t="s">
        <v>12</v>
      </c>
      <c r="C12" s="10">
        <v>1100</v>
      </c>
      <c r="D12" s="11"/>
      <c r="E12" s="12" t="s">
        <v>9</v>
      </c>
    </row>
    <row r="13" spans="2:5" x14ac:dyDescent="0.2">
      <c r="B13" s="9" t="s">
        <v>13</v>
      </c>
      <c r="C13" s="10">
        <v>1000</v>
      </c>
      <c r="D13" s="11"/>
      <c r="E13" s="12" t="s">
        <v>9</v>
      </c>
    </row>
    <row r="14" spans="2:5" x14ac:dyDescent="0.2">
      <c r="B14" s="9" t="s">
        <v>14</v>
      </c>
      <c r="C14" s="10">
        <v>900</v>
      </c>
      <c r="D14" s="11"/>
      <c r="E14" s="12" t="s">
        <v>9</v>
      </c>
    </row>
    <row r="15" spans="2:5" x14ac:dyDescent="0.2">
      <c r="B15" s="9" t="s">
        <v>15</v>
      </c>
      <c r="C15" s="10">
        <v>1250</v>
      </c>
      <c r="D15" s="11"/>
      <c r="E15" s="12" t="s">
        <v>9</v>
      </c>
    </row>
    <row r="16" spans="2:5" x14ac:dyDescent="0.2">
      <c r="B16" s="9" t="s">
        <v>16</v>
      </c>
      <c r="C16" s="10">
        <v>1300</v>
      </c>
      <c r="D16" s="11"/>
      <c r="E16" s="12" t="s">
        <v>9</v>
      </c>
    </row>
    <row r="17" spans="2:5" x14ac:dyDescent="0.2">
      <c r="B17" s="9" t="s">
        <v>17</v>
      </c>
      <c r="C17" s="10">
        <v>1050</v>
      </c>
      <c r="D17" s="11"/>
      <c r="E17" s="12" t="s">
        <v>9</v>
      </c>
    </row>
    <row r="18" spans="2:5" x14ac:dyDescent="0.2">
      <c r="B18" s="9" t="s">
        <v>18</v>
      </c>
      <c r="C18" s="10">
        <v>950</v>
      </c>
      <c r="D18" s="11"/>
      <c r="E18" s="12" t="s">
        <v>9</v>
      </c>
    </row>
    <row r="20" spans="2:5" ht="17" x14ac:dyDescent="0.2">
      <c r="B20" s="7" t="s">
        <v>19</v>
      </c>
    </row>
    <row r="21" spans="2:5" x14ac:dyDescent="0.2">
      <c r="B21" s="9" t="s">
        <v>20</v>
      </c>
      <c r="C21" s="13">
        <v>5</v>
      </c>
      <c r="D21" s="11"/>
      <c r="E21" s="12" t="s">
        <v>21</v>
      </c>
    </row>
    <row r="22" spans="2:5" x14ac:dyDescent="0.2">
      <c r="B22" s="9" t="s">
        <v>22</v>
      </c>
      <c r="C22" s="13">
        <v>18</v>
      </c>
      <c r="D22" s="11"/>
      <c r="E22" s="12" t="s">
        <v>23</v>
      </c>
    </row>
    <row r="23" spans="2:5" x14ac:dyDescent="0.2">
      <c r="B23" s="9" t="s">
        <v>24</v>
      </c>
      <c r="C23" s="13">
        <v>21.7</v>
      </c>
      <c r="D23" s="11"/>
      <c r="E23" s="12" t="s">
        <v>25</v>
      </c>
    </row>
    <row r="24" spans="2:5" x14ac:dyDescent="0.2">
      <c r="B24" s="14" t="s">
        <v>26</v>
      </c>
      <c r="C24" s="15">
        <f>C22*C21/C23</f>
        <v>4.1474654377880187</v>
      </c>
      <c r="E24" s="16" t="s">
        <v>27</v>
      </c>
    </row>
    <row r="26" spans="2:5" ht="17" x14ac:dyDescent="0.2">
      <c r="B26" s="7" t="s">
        <v>28</v>
      </c>
    </row>
    <row r="27" spans="2:5" x14ac:dyDescent="0.2">
      <c r="B27" s="17" t="s">
        <v>29</v>
      </c>
      <c r="C27" s="13" t="s">
        <v>30</v>
      </c>
      <c r="E27" s="12" t="s">
        <v>31</v>
      </c>
    </row>
    <row r="28" spans="2:5" x14ac:dyDescent="0.2">
      <c r="B28" s="8" t="s">
        <v>32</v>
      </c>
      <c r="C28" s="8" t="s">
        <v>33</v>
      </c>
      <c r="D28" s="8" t="s">
        <v>34</v>
      </c>
      <c r="E28" s="8" t="s">
        <v>7</v>
      </c>
    </row>
    <row r="29" spans="2:5" x14ac:dyDescent="0.2">
      <c r="B29" s="9" t="s">
        <v>35</v>
      </c>
      <c r="C29" s="10">
        <v>1400</v>
      </c>
      <c r="D29" s="10">
        <v>1500</v>
      </c>
      <c r="E29" s="12" t="s">
        <v>36</v>
      </c>
    </row>
    <row r="30" spans="2:5" x14ac:dyDescent="0.2">
      <c r="B30" s="9" t="s">
        <v>37</v>
      </c>
      <c r="C30" s="10">
        <v>2800</v>
      </c>
      <c r="D30" s="10">
        <v>3200</v>
      </c>
      <c r="E30" s="12" t="s">
        <v>38</v>
      </c>
    </row>
    <row r="31" spans="2:5" x14ac:dyDescent="0.2">
      <c r="B31" s="9" t="s">
        <v>39</v>
      </c>
      <c r="C31" s="10">
        <v>600</v>
      </c>
      <c r="D31" s="10">
        <v>650</v>
      </c>
      <c r="E31" s="12" t="s">
        <v>40</v>
      </c>
    </row>
    <row r="32" spans="2:5" x14ac:dyDescent="0.2">
      <c r="B32" s="9" t="s">
        <v>41</v>
      </c>
      <c r="C32" s="10">
        <v>300</v>
      </c>
      <c r="D32" s="10">
        <v>300</v>
      </c>
      <c r="E32" s="12" t="s">
        <v>42</v>
      </c>
    </row>
    <row r="33" spans="2:5" x14ac:dyDescent="0.2">
      <c r="B33" s="9" t="s">
        <v>43</v>
      </c>
      <c r="C33" s="10">
        <v>250</v>
      </c>
      <c r="D33" s="10">
        <v>280</v>
      </c>
      <c r="E33" s="12" t="s">
        <v>44</v>
      </c>
    </row>
    <row r="34" spans="2:5" x14ac:dyDescent="0.2">
      <c r="B34" s="9" t="s">
        <v>45</v>
      </c>
      <c r="C34" s="10">
        <v>400</v>
      </c>
      <c r="D34" s="10">
        <v>450</v>
      </c>
      <c r="E34" s="12" t="s">
        <v>46</v>
      </c>
    </row>
    <row r="35" spans="2:5" x14ac:dyDescent="0.2">
      <c r="B35" s="9" t="s">
        <v>47</v>
      </c>
      <c r="C35" s="10">
        <v>300</v>
      </c>
      <c r="D35" s="10">
        <v>320</v>
      </c>
      <c r="E35" s="12" t="s">
        <v>48</v>
      </c>
    </row>
    <row r="36" spans="2:5" x14ac:dyDescent="0.2">
      <c r="B36" s="9" t="s">
        <v>49</v>
      </c>
      <c r="C36" s="10">
        <v>250</v>
      </c>
      <c r="D36" s="10">
        <v>270</v>
      </c>
      <c r="E36" s="12" t="s">
        <v>50</v>
      </c>
    </row>
    <row r="37" spans="2:5" x14ac:dyDescent="0.2">
      <c r="B37" s="14" t="s">
        <v>51</v>
      </c>
      <c r="C37" s="18">
        <f>IF(C27="AWS",SUM(C29:C36),SUM(D29:D36))</f>
        <v>6970</v>
      </c>
      <c r="D37" s="19"/>
      <c r="E37" s="19"/>
    </row>
    <row r="39" spans="2:5" ht="17" x14ac:dyDescent="0.2">
      <c r="B39" s="7" t="s">
        <v>52</v>
      </c>
    </row>
    <row r="40" spans="2:5" x14ac:dyDescent="0.2">
      <c r="B40" s="9" t="s">
        <v>53</v>
      </c>
      <c r="C40" s="13">
        <v>1</v>
      </c>
      <c r="D40" s="11"/>
      <c r="E40" s="12" t="s">
        <v>54</v>
      </c>
    </row>
    <row r="41" spans="2:5" x14ac:dyDescent="0.2">
      <c r="B41" s="9" t="s">
        <v>55</v>
      </c>
      <c r="C41" s="13">
        <v>4</v>
      </c>
      <c r="D41" s="11"/>
      <c r="E41" s="12" t="s">
        <v>56</v>
      </c>
    </row>
    <row r="42" spans="2:5" x14ac:dyDescent="0.2">
      <c r="B42" s="9" t="s">
        <v>57</v>
      </c>
      <c r="C42" s="10">
        <v>35000</v>
      </c>
      <c r="D42" s="11"/>
      <c r="E42" s="12" t="s">
        <v>58</v>
      </c>
    </row>
    <row r="43" spans="2:5" x14ac:dyDescent="0.2">
      <c r="B43" s="9" t="s">
        <v>59</v>
      </c>
      <c r="C43" s="10">
        <v>500</v>
      </c>
      <c r="D43" s="11"/>
      <c r="E43" s="12" t="s">
        <v>60</v>
      </c>
    </row>
    <row r="44" spans="2:5" x14ac:dyDescent="0.2">
      <c r="B44" s="9" t="s">
        <v>61</v>
      </c>
      <c r="C44" s="9">
        <f>MAX(0,C41-C40)</f>
        <v>3</v>
      </c>
      <c r="E44" s="12" t="s">
        <v>62</v>
      </c>
    </row>
    <row r="46" spans="2:5" ht="17" x14ac:dyDescent="0.2">
      <c r="B46" s="7" t="s">
        <v>63</v>
      </c>
    </row>
    <row r="47" spans="2:5" ht="39.75" customHeight="1" x14ac:dyDescent="0.2">
      <c r="B47" s="2" t="s">
        <v>64</v>
      </c>
      <c r="C47" s="2"/>
      <c r="D47" s="2"/>
      <c r="E47" s="2"/>
    </row>
    <row r="48" spans="2:5" ht="28" x14ac:dyDescent="0.2">
      <c r="B48" s="8" t="s">
        <v>65</v>
      </c>
      <c r="C48" s="8" t="s">
        <v>66</v>
      </c>
      <c r="E48" s="8" t="s">
        <v>67</v>
      </c>
    </row>
    <row r="49" spans="2:5" x14ac:dyDescent="0.2">
      <c r="B49" s="9" t="s">
        <v>68</v>
      </c>
      <c r="C49" s="13">
        <v>7</v>
      </c>
      <c r="D49" s="11"/>
      <c r="E49" s="12" t="s">
        <v>69</v>
      </c>
    </row>
    <row r="50" spans="2:5" x14ac:dyDescent="0.2">
      <c r="B50" s="9" t="s">
        <v>70</v>
      </c>
      <c r="C50" s="13">
        <v>2</v>
      </c>
      <c r="D50" s="11"/>
      <c r="E50" s="12" t="s">
        <v>71</v>
      </c>
    </row>
    <row r="51" spans="2:5" x14ac:dyDescent="0.2">
      <c r="B51" s="9" t="s">
        <v>72</v>
      </c>
      <c r="C51" s="13">
        <v>9</v>
      </c>
      <c r="D51" s="11"/>
      <c r="E51" s="12" t="s">
        <v>73</v>
      </c>
    </row>
    <row r="52" spans="2:5" x14ac:dyDescent="0.2">
      <c r="B52" s="9" t="s">
        <v>74</v>
      </c>
      <c r="C52" s="13">
        <v>37</v>
      </c>
      <c r="D52" s="11"/>
      <c r="E52" s="12" t="s">
        <v>75</v>
      </c>
    </row>
    <row r="53" spans="2:5" x14ac:dyDescent="0.2">
      <c r="B53" s="14" t="s">
        <v>76</v>
      </c>
      <c r="C53" s="14">
        <f>SUM(C49:C52)</f>
        <v>55</v>
      </c>
      <c r="D53" s="19"/>
      <c r="E53" s="16" t="s">
        <v>77</v>
      </c>
    </row>
    <row r="55" spans="2:5" x14ac:dyDescent="0.2">
      <c r="B55" s="9" t="s">
        <v>78</v>
      </c>
      <c r="C55" s="13">
        <v>18</v>
      </c>
      <c r="D55" s="11"/>
      <c r="E55" s="12" t="s">
        <v>79</v>
      </c>
    </row>
    <row r="56" spans="2:5" x14ac:dyDescent="0.2">
      <c r="B56" s="9" t="s">
        <v>80</v>
      </c>
      <c r="C56" s="10">
        <v>4000</v>
      </c>
      <c r="D56" s="11"/>
      <c r="E56" s="12" t="s">
        <v>81</v>
      </c>
    </row>
    <row r="57" spans="2:5" x14ac:dyDescent="0.2">
      <c r="B57" s="9" t="s">
        <v>82</v>
      </c>
      <c r="C57" s="10">
        <v>150</v>
      </c>
      <c r="D57" s="11"/>
      <c r="E57" s="12" t="s">
        <v>83</v>
      </c>
    </row>
    <row r="58" spans="2:5" x14ac:dyDescent="0.2">
      <c r="B58" s="14" t="s">
        <v>84</v>
      </c>
      <c r="C58" s="18">
        <f>C55*C56</f>
        <v>72000</v>
      </c>
      <c r="E58" s="19"/>
    </row>
    <row r="59" spans="2:5" x14ac:dyDescent="0.2">
      <c r="B59" s="14" t="s">
        <v>85</v>
      </c>
      <c r="C59" s="18">
        <f>C55*C57</f>
        <v>2700</v>
      </c>
      <c r="E59" s="19"/>
    </row>
    <row r="61" spans="2:5" ht="17" x14ac:dyDescent="0.2">
      <c r="B61" s="7" t="s">
        <v>86</v>
      </c>
    </row>
    <row r="62" spans="2:5" ht="31.5" customHeight="1" x14ac:dyDescent="0.2">
      <c r="B62" s="2" t="s">
        <v>87</v>
      </c>
      <c r="C62" s="2"/>
      <c r="D62" s="2"/>
      <c r="E62" s="2"/>
    </row>
    <row r="63" spans="2:5" x14ac:dyDescent="0.2">
      <c r="B63" s="20" t="s">
        <v>88</v>
      </c>
      <c r="C63" s="20" t="s">
        <v>89</v>
      </c>
      <c r="E63" s="20" t="s">
        <v>90</v>
      </c>
    </row>
    <row r="64" spans="2:5" ht="33.75" customHeight="1" x14ac:dyDescent="0.2">
      <c r="B64" s="21" t="s">
        <v>91</v>
      </c>
      <c r="C64" s="22" t="s">
        <v>92</v>
      </c>
      <c r="E64" s="23" t="s">
        <v>93</v>
      </c>
    </row>
    <row r="65" spans="2:5" ht="33.75" customHeight="1" x14ac:dyDescent="0.2">
      <c r="B65" s="21" t="s">
        <v>94</v>
      </c>
      <c r="C65" s="22" t="s">
        <v>95</v>
      </c>
      <c r="E65" s="23" t="s">
        <v>96</v>
      </c>
    </row>
    <row r="66" spans="2:5" ht="33.75" customHeight="1" x14ac:dyDescent="0.2">
      <c r="B66" s="21" t="s">
        <v>97</v>
      </c>
      <c r="C66" s="22" t="s">
        <v>98</v>
      </c>
      <c r="E66" s="23" t="s">
        <v>99</v>
      </c>
    </row>
    <row r="67" spans="2:5" ht="33.75" customHeight="1" x14ac:dyDescent="0.2">
      <c r="B67" s="21" t="s">
        <v>100</v>
      </c>
      <c r="C67" s="22" t="s">
        <v>101</v>
      </c>
      <c r="E67" s="23" t="s">
        <v>102</v>
      </c>
    </row>
    <row r="68" spans="2:5" s="74" customFormat="1" ht="33.75" customHeight="1" x14ac:dyDescent="0.2">
      <c r="B68" s="72" t="s">
        <v>103</v>
      </c>
      <c r="C68" s="73" t="s">
        <v>104</v>
      </c>
      <c r="E68" s="75" t="s">
        <v>105</v>
      </c>
    </row>
    <row r="69" spans="2:5" ht="33.75" customHeight="1" x14ac:dyDescent="0.2">
      <c r="B69" s="21" t="s">
        <v>106</v>
      </c>
      <c r="C69" s="22" t="s">
        <v>107</v>
      </c>
      <c r="E69" s="23" t="s">
        <v>108</v>
      </c>
    </row>
    <row r="70" spans="2:5" s="74" customFormat="1" ht="33.75" customHeight="1" x14ac:dyDescent="0.2">
      <c r="B70" s="72" t="s">
        <v>109</v>
      </c>
      <c r="C70" s="73" t="s">
        <v>110</v>
      </c>
      <c r="E70" s="75" t="s">
        <v>111</v>
      </c>
    </row>
    <row r="71" spans="2:5" ht="266" x14ac:dyDescent="0.2">
      <c r="B71" s="21" t="s">
        <v>112</v>
      </c>
      <c r="C71" s="22" t="s">
        <v>113</v>
      </c>
      <c r="E71" s="23" t="s">
        <v>114</v>
      </c>
    </row>
    <row r="72" spans="2:5" ht="98" x14ac:dyDescent="0.2">
      <c r="B72" s="21" t="s">
        <v>115</v>
      </c>
      <c r="C72" s="22" t="s">
        <v>116</v>
      </c>
      <c r="E72" s="75" t="s">
        <v>117</v>
      </c>
    </row>
    <row r="73" spans="2:5" ht="33.75" customHeight="1" x14ac:dyDescent="0.2">
      <c r="B73" s="21" t="s">
        <v>118</v>
      </c>
      <c r="C73" s="22" t="s">
        <v>119</v>
      </c>
      <c r="E73" s="23" t="s">
        <v>120</v>
      </c>
    </row>
    <row r="74" spans="2:5" s="78" customFormat="1" ht="33.75" customHeight="1" x14ac:dyDescent="0.2">
      <c r="B74" s="76" t="s">
        <v>121</v>
      </c>
      <c r="C74" s="77" t="s">
        <v>122</v>
      </c>
      <c r="E74" s="79" t="s">
        <v>123</v>
      </c>
    </row>
    <row r="75" spans="2:5" ht="33.75" customHeight="1" x14ac:dyDescent="0.2">
      <c r="B75" s="21" t="s">
        <v>124</v>
      </c>
      <c r="C75" s="22" t="s">
        <v>125</v>
      </c>
      <c r="E75" s="23" t="s">
        <v>126</v>
      </c>
    </row>
    <row r="76" spans="2:5" ht="33.75" customHeight="1" x14ac:dyDescent="0.2">
      <c r="B76" s="21" t="s">
        <v>127</v>
      </c>
      <c r="C76" s="22" t="s">
        <v>128</v>
      </c>
      <c r="E76" s="23" t="s">
        <v>129</v>
      </c>
    </row>
    <row r="77" spans="2:5" ht="33.75" customHeight="1" x14ac:dyDescent="0.2">
      <c r="B77" s="21" t="s">
        <v>130</v>
      </c>
      <c r="C77" s="22" t="s">
        <v>131</v>
      </c>
      <c r="E77" s="23" t="s">
        <v>132</v>
      </c>
    </row>
    <row r="78" spans="2:5" ht="33.75" customHeight="1" x14ac:dyDescent="0.2">
      <c r="B78" s="21" t="s">
        <v>133</v>
      </c>
      <c r="C78" s="22" t="s">
        <v>134</v>
      </c>
      <c r="E78" s="23" t="s">
        <v>135</v>
      </c>
    </row>
    <row r="79" spans="2:5" ht="33.75" customHeight="1" x14ac:dyDescent="0.2">
      <c r="B79" s="21" t="s">
        <v>136</v>
      </c>
      <c r="C79" s="22" t="s">
        <v>137</v>
      </c>
      <c r="E79" s="23" t="s">
        <v>138</v>
      </c>
    </row>
    <row r="81" spans="2:5" ht="17" x14ac:dyDescent="0.2">
      <c r="B81" s="7" t="s">
        <v>139</v>
      </c>
    </row>
    <row r="82" spans="2:5" ht="45.75" customHeight="1" x14ac:dyDescent="0.2">
      <c r="B82" s="2" t="s">
        <v>140</v>
      </c>
      <c r="C82" s="2"/>
      <c r="D82" s="2"/>
      <c r="E82" s="2"/>
    </row>
    <row r="83" spans="2:5" x14ac:dyDescent="0.2">
      <c r="B83" s="9" t="s">
        <v>141</v>
      </c>
      <c r="C83" s="13">
        <v>3</v>
      </c>
      <c r="D83" s="11"/>
      <c r="E83" s="12" t="s">
        <v>142</v>
      </c>
    </row>
    <row r="84" spans="2:5" x14ac:dyDescent="0.2">
      <c r="B84" s="9" t="s">
        <v>143</v>
      </c>
      <c r="C84" s="10">
        <v>20000</v>
      </c>
      <c r="D84" s="11"/>
      <c r="E84" s="12" t="s">
        <v>144</v>
      </c>
    </row>
    <row r="85" spans="2:5" x14ac:dyDescent="0.2">
      <c r="B85" s="9" t="s">
        <v>145</v>
      </c>
      <c r="C85" s="10">
        <v>750</v>
      </c>
      <c r="D85" s="11"/>
      <c r="E85" s="12" t="s">
        <v>146</v>
      </c>
    </row>
    <row r="86" spans="2:5" x14ac:dyDescent="0.2">
      <c r="B86" s="9" t="s">
        <v>147</v>
      </c>
      <c r="C86" s="13">
        <v>3</v>
      </c>
      <c r="D86" s="11"/>
      <c r="E86" s="12" t="s">
        <v>148</v>
      </c>
    </row>
    <row r="87" spans="2:5" x14ac:dyDescent="0.2">
      <c r="B87" s="9" t="s">
        <v>149</v>
      </c>
      <c r="C87" s="10">
        <v>8000</v>
      </c>
      <c r="D87" s="11"/>
      <c r="E87" s="12" t="s">
        <v>150</v>
      </c>
    </row>
    <row r="88" spans="2:5" x14ac:dyDescent="0.2">
      <c r="B88" s="9" t="s">
        <v>151</v>
      </c>
      <c r="C88" s="10">
        <v>300</v>
      </c>
      <c r="D88" s="11"/>
      <c r="E88" s="12" t="s">
        <v>152</v>
      </c>
    </row>
    <row r="90" spans="2:5" ht="17" x14ac:dyDescent="0.2">
      <c r="B90" s="7" t="s">
        <v>153</v>
      </c>
    </row>
    <row r="91" spans="2:5" x14ac:dyDescent="0.2">
      <c r="B91" s="9" t="s">
        <v>154</v>
      </c>
      <c r="C91" s="10">
        <v>8000</v>
      </c>
      <c r="D91" s="11"/>
      <c r="E91" s="12" t="s">
        <v>155</v>
      </c>
    </row>
    <row r="92" spans="2:5" x14ac:dyDescent="0.2">
      <c r="B92" s="9" t="s">
        <v>156</v>
      </c>
      <c r="C92" s="13">
        <v>0</v>
      </c>
      <c r="D92" s="11"/>
      <c r="E92" s="12" t="s">
        <v>157</v>
      </c>
    </row>
    <row r="93" spans="2:5" x14ac:dyDescent="0.2">
      <c r="B93" s="9" t="s">
        <v>158</v>
      </c>
      <c r="C93" s="10">
        <v>15000</v>
      </c>
      <c r="D93" s="11"/>
      <c r="E93" s="12" t="s">
        <v>159</v>
      </c>
    </row>
    <row r="95" spans="2:5" ht="17" x14ac:dyDescent="0.2">
      <c r="B95" s="7" t="s">
        <v>160</v>
      </c>
    </row>
    <row r="96" spans="2:5" x14ac:dyDescent="0.2">
      <c r="B96" s="8" t="s">
        <v>161</v>
      </c>
      <c r="C96" s="8" t="s">
        <v>162</v>
      </c>
      <c r="E96" s="8" t="s">
        <v>7</v>
      </c>
    </row>
    <row r="97" spans="2:5" x14ac:dyDescent="0.2">
      <c r="B97" s="9" t="s">
        <v>163</v>
      </c>
      <c r="C97" s="10">
        <v>60000</v>
      </c>
      <c r="D97" s="11"/>
      <c r="E97" s="12" t="s">
        <v>164</v>
      </c>
    </row>
    <row r="98" spans="2:5" x14ac:dyDescent="0.2">
      <c r="B98" s="9" t="s">
        <v>165</v>
      </c>
      <c r="C98" s="10">
        <v>0</v>
      </c>
      <c r="D98" s="11"/>
      <c r="E98" s="12" t="s">
        <v>166</v>
      </c>
    </row>
    <row r="99" spans="2:5" x14ac:dyDescent="0.2">
      <c r="B99" s="9" t="s">
        <v>167</v>
      </c>
      <c r="C99" s="10">
        <v>1500</v>
      </c>
      <c r="D99" s="11"/>
      <c r="E99" s="12" t="s">
        <v>168</v>
      </c>
    </row>
    <row r="100" spans="2:5" x14ac:dyDescent="0.2">
      <c r="B100" s="9" t="s">
        <v>169</v>
      </c>
      <c r="C100" s="10">
        <v>2000</v>
      </c>
      <c r="D100" s="11"/>
      <c r="E100" s="12" t="s">
        <v>170</v>
      </c>
    </row>
    <row r="101" spans="2:5" x14ac:dyDescent="0.2">
      <c r="B101" s="9" t="s">
        <v>171</v>
      </c>
      <c r="C101" s="10">
        <v>4000</v>
      </c>
      <c r="D101" s="11"/>
      <c r="E101" s="12" t="s">
        <v>172</v>
      </c>
    </row>
    <row r="103" spans="2:5" ht="17" x14ac:dyDescent="0.2">
      <c r="B103" s="7" t="s">
        <v>173</v>
      </c>
    </row>
    <row r="104" spans="2:5" ht="54.75" customHeight="1" x14ac:dyDescent="0.2">
      <c r="B104" s="2" t="s">
        <v>174</v>
      </c>
      <c r="C104" s="2"/>
      <c r="D104" s="2"/>
      <c r="E104" s="2"/>
    </row>
    <row r="105" spans="2:5" x14ac:dyDescent="0.2">
      <c r="B105" s="9" t="s">
        <v>175</v>
      </c>
      <c r="C105" s="13" t="s">
        <v>176</v>
      </c>
      <c r="E105" s="12" t="s">
        <v>177</v>
      </c>
    </row>
    <row r="106" spans="2:5" x14ac:dyDescent="0.2">
      <c r="B106" s="9" t="s">
        <v>178</v>
      </c>
      <c r="C106" s="10">
        <v>100000</v>
      </c>
      <c r="D106" s="11"/>
      <c r="E106" s="12" t="s">
        <v>179</v>
      </c>
    </row>
    <row r="107" spans="2:5" x14ac:dyDescent="0.2">
      <c r="B107" s="9" t="s">
        <v>180</v>
      </c>
      <c r="C107" s="10">
        <v>200000</v>
      </c>
      <c r="D107" s="11"/>
      <c r="E107" s="12" t="s">
        <v>181</v>
      </c>
    </row>
    <row r="109" spans="2:5" ht="17" x14ac:dyDescent="0.2">
      <c r="B109" s="7" t="s">
        <v>182</v>
      </c>
    </row>
    <row r="110" spans="2:5" ht="54.75" customHeight="1" x14ac:dyDescent="0.2">
      <c r="B110" s="2" t="s">
        <v>183</v>
      </c>
      <c r="C110" s="2"/>
      <c r="D110" s="2"/>
      <c r="E110" s="2"/>
    </row>
    <row r="111" spans="2:5" x14ac:dyDescent="0.2">
      <c r="B111" s="24" t="s">
        <v>184</v>
      </c>
    </row>
    <row r="112" spans="2:5" ht="27.75" customHeight="1" x14ac:dyDescent="0.2">
      <c r="B112" s="2" t="s">
        <v>185</v>
      </c>
      <c r="C112" s="2"/>
      <c r="D112" s="2"/>
      <c r="E112" s="2"/>
    </row>
    <row r="113" spans="2:5" x14ac:dyDescent="0.2">
      <c r="B113" s="9" t="s">
        <v>186</v>
      </c>
      <c r="C113" s="10">
        <v>45000</v>
      </c>
      <c r="D113" s="11"/>
      <c r="E113" s="12" t="s">
        <v>187</v>
      </c>
    </row>
    <row r="114" spans="2:5" x14ac:dyDescent="0.2">
      <c r="B114" s="9" t="s">
        <v>188</v>
      </c>
      <c r="C114" s="10">
        <v>500</v>
      </c>
      <c r="D114" s="11"/>
      <c r="E114" s="12" t="s">
        <v>189</v>
      </c>
    </row>
    <row r="116" spans="2:5" x14ac:dyDescent="0.2">
      <c r="B116" s="24" t="s">
        <v>190</v>
      </c>
    </row>
    <row r="117" spans="2:5" ht="27.75" customHeight="1" x14ac:dyDescent="0.2">
      <c r="B117" s="2" t="s">
        <v>191</v>
      </c>
      <c r="C117" s="2"/>
      <c r="D117" s="2"/>
      <c r="E117" s="2"/>
    </row>
    <row r="118" spans="2:5" x14ac:dyDescent="0.2">
      <c r="B118" s="9" t="s">
        <v>192</v>
      </c>
      <c r="C118" s="10">
        <v>180000</v>
      </c>
      <c r="D118" s="11"/>
      <c r="E118" s="12" t="s">
        <v>193</v>
      </c>
    </row>
    <row r="119" spans="2:5" x14ac:dyDescent="0.2">
      <c r="B119" s="9" t="s">
        <v>194</v>
      </c>
      <c r="C119" s="10">
        <v>2500</v>
      </c>
      <c r="D119" s="11"/>
      <c r="E119" s="12" t="s">
        <v>195</v>
      </c>
    </row>
    <row r="121" spans="2:5" x14ac:dyDescent="0.2">
      <c r="B121" s="24" t="s">
        <v>196</v>
      </c>
    </row>
    <row r="122" spans="2:5" ht="27.75" customHeight="1" x14ac:dyDescent="0.2">
      <c r="B122" s="2" t="s">
        <v>197</v>
      </c>
      <c r="C122" s="2"/>
      <c r="D122" s="2"/>
      <c r="E122" s="2"/>
    </row>
    <row r="123" spans="2:5" x14ac:dyDescent="0.2">
      <c r="B123" s="9" t="s">
        <v>198</v>
      </c>
      <c r="C123" s="10">
        <v>130000</v>
      </c>
      <c r="D123" s="11"/>
      <c r="E123" s="12" t="s">
        <v>199</v>
      </c>
    </row>
    <row r="124" spans="2:5" x14ac:dyDescent="0.2">
      <c r="B124" s="9" t="s">
        <v>200</v>
      </c>
      <c r="C124" s="10">
        <v>55000</v>
      </c>
      <c r="D124" s="11"/>
      <c r="E124" s="12" t="s">
        <v>201</v>
      </c>
    </row>
    <row r="125" spans="2:5" x14ac:dyDescent="0.2">
      <c r="B125" s="9" t="s">
        <v>202</v>
      </c>
      <c r="C125" s="10">
        <v>10000</v>
      </c>
      <c r="D125" s="11"/>
      <c r="E125" s="12" t="s">
        <v>203</v>
      </c>
    </row>
    <row r="126" spans="2:5" x14ac:dyDescent="0.2">
      <c r="B126" s="9" t="s">
        <v>204</v>
      </c>
      <c r="C126" s="10">
        <v>2000</v>
      </c>
      <c r="D126" s="11"/>
      <c r="E126" s="12" t="s">
        <v>205</v>
      </c>
    </row>
    <row r="128" spans="2:5" x14ac:dyDescent="0.2">
      <c r="B128" s="24" t="s">
        <v>206</v>
      </c>
    </row>
    <row r="129" spans="2:5" ht="67.5" customHeight="1" x14ac:dyDescent="0.2">
      <c r="B129" s="2" t="s">
        <v>207</v>
      </c>
      <c r="C129" s="2"/>
      <c r="D129" s="2"/>
      <c r="E129" s="2"/>
    </row>
    <row r="130" spans="2:5" x14ac:dyDescent="0.2">
      <c r="B130" s="9" t="s">
        <v>208</v>
      </c>
      <c r="C130" s="13">
        <v>8</v>
      </c>
      <c r="D130" s="11"/>
      <c r="E130" s="12" t="s">
        <v>209</v>
      </c>
    </row>
    <row r="131" spans="2:5" x14ac:dyDescent="0.2">
      <c r="B131" s="9" t="s">
        <v>210</v>
      </c>
      <c r="C131" s="10">
        <v>12000</v>
      </c>
      <c r="D131" s="11"/>
      <c r="E131" s="12" t="s">
        <v>211</v>
      </c>
    </row>
    <row r="132" spans="2:5" x14ac:dyDescent="0.2">
      <c r="B132" s="9" t="s">
        <v>212</v>
      </c>
      <c r="C132" s="10">
        <v>400</v>
      </c>
      <c r="D132" s="11"/>
      <c r="E132" s="12" t="s">
        <v>213</v>
      </c>
    </row>
    <row r="133" spans="2:5" x14ac:dyDescent="0.2">
      <c r="B133" s="14" t="s">
        <v>214</v>
      </c>
      <c r="C133" s="18">
        <f>C130*C131</f>
        <v>96000</v>
      </c>
      <c r="E133" s="19"/>
    </row>
    <row r="134" spans="2:5" x14ac:dyDescent="0.2">
      <c r="B134" s="14" t="s">
        <v>215</v>
      </c>
      <c r="C134" s="18">
        <f>C130*C132</f>
        <v>3200</v>
      </c>
      <c r="E134" s="19"/>
    </row>
    <row r="136" spans="2:5" x14ac:dyDescent="0.2">
      <c r="B136" s="14" t="s">
        <v>216</v>
      </c>
      <c r="C136" s="18">
        <f>C113+C118+C123+C124+C125+C133</f>
        <v>516000</v>
      </c>
      <c r="E136" s="19"/>
    </row>
    <row r="137" spans="2:5" x14ac:dyDescent="0.2">
      <c r="B137" s="14" t="s">
        <v>217</v>
      </c>
      <c r="C137" s="18">
        <f>C114+C119+C126+C134</f>
        <v>8200</v>
      </c>
      <c r="E137" s="19"/>
    </row>
    <row r="139" spans="2:5" ht="17" x14ac:dyDescent="0.2">
      <c r="B139" s="7" t="s">
        <v>218</v>
      </c>
    </row>
    <row r="140" spans="2:5" x14ac:dyDescent="0.2">
      <c r="B140" s="9" t="s">
        <v>219</v>
      </c>
      <c r="C140" s="10">
        <v>30000</v>
      </c>
      <c r="D140" s="11"/>
      <c r="E140" s="12" t="s">
        <v>220</v>
      </c>
    </row>
    <row r="141" spans="2:5" x14ac:dyDescent="0.2">
      <c r="B141" s="9" t="s">
        <v>221</v>
      </c>
      <c r="C141" s="10">
        <v>5000</v>
      </c>
      <c r="D141" s="11"/>
      <c r="E141" s="12" t="s">
        <v>222</v>
      </c>
    </row>
    <row r="142" spans="2:5" x14ac:dyDescent="0.2">
      <c r="B142" s="9" t="s">
        <v>223</v>
      </c>
      <c r="C142" s="10">
        <v>45000</v>
      </c>
      <c r="D142" s="11"/>
      <c r="E142" s="12" t="s">
        <v>224</v>
      </c>
    </row>
    <row r="143" spans="2:5" x14ac:dyDescent="0.2">
      <c r="B143" s="9" t="s">
        <v>225</v>
      </c>
      <c r="C143" s="10">
        <v>25000</v>
      </c>
      <c r="D143" s="11"/>
      <c r="E143" s="12" t="s">
        <v>226</v>
      </c>
    </row>
    <row r="144" spans="2:5" x14ac:dyDescent="0.2">
      <c r="B144" s="9" t="s">
        <v>227</v>
      </c>
      <c r="C144" s="13" t="s">
        <v>228</v>
      </c>
      <c r="E144" s="12" t="s">
        <v>229</v>
      </c>
    </row>
    <row r="145" spans="2:5" x14ac:dyDescent="0.2">
      <c r="B145" s="9" t="s">
        <v>230</v>
      </c>
      <c r="C145" s="10">
        <v>120000</v>
      </c>
      <c r="D145" s="11"/>
      <c r="E145" s="12" t="s">
        <v>231</v>
      </c>
    </row>
    <row r="146" spans="2:5" x14ac:dyDescent="0.2">
      <c r="B146" s="9" t="s">
        <v>232</v>
      </c>
      <c r="C146" s="10">
        <v>40000</v>
      </c>
      <c r="D146" s="11"/>
      <c r="E146" s="12" t="s">
        <v>231</v>
      </c>
    </row>
    <row r="148" spans="2:5" ht="17" x14ac:dyDescent="0.2">
      <c r="B148" s="7" t="s">
        <v>233</v>
      </c>
    </row>
    <row r="149" spans="2:5" x14ac:dyDescent="0.2">
      <c r="B149" s="9" t="s">
        <v>234</v>
      </c>
      <c r="C149" s="10">
        <v>25000</v>
      </c>
      <c r="D149" s="11"/>
      <c r="E149" s="12" t="s">
        <v>235</v>
      </c>
    </row>
    <row r="150" spans="2:5" x14ac:dyDescent="0.2">
      <c r="B150" s="9" t="s">
        <v>236</v>
      </c>
      <c r="C150" s="10">
        <v>8000</v>
      </c>
      <c r="D150" s="11"/>
      <c r="E150" s="12" t="s">
        <v>237</v>
      </c>
    </row>
    <row r="151" spans="2:5" x14ac:dyDescent="0.2">
      <c r="B151" s="9" t="s">
        <v>238</v>
      </c>
      <c r="C151" s="10">
        <v>20000</v>
      </c>
      <c r="D151" s="11"/>
      <c r="E151" s="12" t="s">
        <v>239</v>
      </c>
    </row>
    <row r="152" spans="2:5" x14ac:dyDescent="0.2">
      <c r="B152" s="9" t="s">
        <v>240</v>
      </c>
      <c r="C152" s="10">
        <v>15000</v>
      </c>
      <c r="D152" s="11"/>
      <c r="E152" s="12" t="s">
        <v>241</v>
      </c>
    </row>
    <row r="153" spans="2:5" x14ac:dyDescent="0.2">
      <c r="B153" s="14" t="s">
        <v>242</v>
      </c>
      <c r="C153" s="18">
        <f>SUM(C149:C152)</f>
        <v>68000</v>
      </c>
      <c r="E153" s="19"/>
    </row>
    <row r="155" spans="2:5" x14ac:dyDescent="0.2">
      <c r="B155" s="9" t="s">
        <v>243</v>
      </c>
      <c r="C155" s="25">
        <v>0.15</v>
      </c>
      <c r="D155" s="11"/>
      <c r="E155" s="12" t="s">
        <v>244</v>
      </c>
    </row>
    <row r="157" spans="2:5" ht="17" x14ac:dyDescent="0.2">
      <c r="B157" s="7" t="s">
        <v>245</v>
      </c>
    </row>
    <row r="158" spans="2:5" x14ac:dyDescent="0.2">
      <c r="B158" s="9" t="s">
        <v>246</v>
      </c>
      <c r="C158" s="26">
        <v>0.5</v>
      </c>
      <c r="D158" s="11"/>
      <c r="E158" s="12" t="s">
        <v>247</v>
      </c>
    </row>
    <row r="159" spans="2:5" x14ac:dyDescent="0.2">
      <c r="B159" s="9" t="s">
        <v>248</v>
      </c>
      <c r="C159" s="26">
        <v>0.25</v>
      </c>
      <c r="D159" s="11"/>
      <c r="E159" s="12" t="s">
        <v>249</v>
      </c>
    </row>
    <row r="160" spans="2:5" x14ac:dyDescent="0.2">
      <c r="B160" s="9" t="s">
        <v>250</v>
      </c>
      <c r="C160" s="27">
        <v>1.2</v>
      </c>
      <c r="D160" s="11"/>
      <c r="E160" s="12" t="s">
        <v>251</v>
      </c>
    </row>
    <row r="162" spans="2:5" ht="17" x14ac:dyDescent="0.2">
      <c r="B162" s="7" t="s">
        <v>252</v>
      </c>
    </row>
    <row r="163" spans="2:5" ht="39.75" customHeight="1" x14ac:dyDescent="0.2">
      <c r="B163" s="2" t="s">
        <v>253</v>
      </c>
      <c r="C163" s="2"/>
      <c r="D163" s="2"/>
      <c r="E163" s="2"/>
    </row>
    <row r="164" spans="2:5" x14ac:dyDescent="0.2">
      <c r="B164" s="9" t="s">
        <v>254</v>
      </c>
      <c r="C164" s="13">
        <v>150</v>
      </c>
      <c r="D164" s="11"/>
      <c r="E164" s="12" t="s">
        <v>255</v>
      </c>
    </row>
    <row r="165" spans="2:5" x14ac:dyDescent="0.2">
      <c r="B165" s="14" t="s">
        <v>256</v>
      </c>
      <c r="C165" s="14">
        <f>Assumptions!C83*C164</f>
        <v>450</v>
      </c>
      <c r="E165" s="16" t="s">
        <v>257</v>
      </c>
    </row>
    <row r="166" spans="2:5" x14ac:dyDescent="0.2">
      <c r="B166" s="9" t="s">
        <v>258</v>
      </c>
      <c r="C166" s="13">
        <v>30</v>
      </c>
      <c r="D166" s="11"/>
      <c r="E166" s="12" t="s">
        <v>259</v>
      </c>
    </row>
    <row r="167" spans="2:5" x14ac:dyDescent="0.2">
      <c r="B167" s="14" t="s">
        <v>260</v>
      </c>
      <c r="C167" s="14">
        <f>Assumptions!C83*C166</f>
        <v>90</v>
      </c>
      <c r="E167" s="16" t="s">
        <v>261</v>
      </c>
    </row>
    <row r="168" spans="2:5" x14ac:dyDescent="0.2">
      <c r="B168" s="9" t="s">
        <v>262</v>
      </c>
      <c r="C168" s="13">
        <v>8</v>
      </c>
      <c r="D168" s="11"/>
      <c r="E168" s="12" t="s">
        <v>263</v>
      </c>
    </row>
    <row r="169" spans="2:5" x14ac:dyDescent="0.2">
      <c r="B169" s="9" t="s">
        <v>264</v>
      </c>
      <c r="C169" s="13">
        <v>2</v>
      </c>
      <c r="D169" s="11"/>
      <c r="E169" s="12" t="s">
        <v>265</v>
      </c>
    </row>
    <row r="170" spans="2:5" x14ac:dyDescent="0.2">
      <c r="B170" s="9" t="s">
        <v>266</v>
      </c>
      <c r="C170" s="13">
        <v>1</v>
      </c>
      <c r="D170" s="11"/>
      <c r="E170" s="12" t="s">
        <v>267</v>
      </c>
    </row>
    <row r="171" spans="2:5" x14ac:dyDescent="0.2">
      <c r="B171" s="14" t="s">
        <v>268</v>
      </c>
      <c r="C171" s="28">
        <f>C18/C168</f>
        <v>118.75</v>
      </c>
      <c r="E171" s="16" t="s">
        <v>269</v>
      </c>
    </row>
    <row r="172" spans="2:5" x14ac:dyDescent="0.2">
      <c r="B172" s="9" t="s">
        <v>270</v>
      </c>
      <c r="C172" s="29">
        <f>C171*C169</f>
        <v>237.5</v>
      </c>
      <c r="E172" s="12" t="s">
        <v>271</v>
      </c>
    </row>
    <row r="173" spans="2:5" x14ac:dyDescent="0.2">
      <c r="B173" s="9" t="s">
        <v>272</v>
      </c>
      <c r="C173" s="29">
        <f>C171*C170</f>
        <v>118.75</v>
      </c>
      <c r="E173" s="12" t="s">
        <v>273</v>
      </c>
    </row>
    <row r="174" spans="2:5" x14ac:dyDescent="0.2">
      <c r="B174" s="14" t="s">
        <v>274</v>
      </c>
      <c r="C174" s="18">
        <f>C165*C172</f>
        <v>106875</v>
      </c>
      <c r="E174" s="19"/>
    </row>
    <row r="175" spans="2:5" x14ac:dyDescent="0.2">
      <c r="B175" s="14" t="s">
        <v>275</v>
      </c>
      <c r="C175" s="18">
        <f>C167*C173</f>
        <v>10687.5</v>
      </c>
      <c r="E175" s="19"/>
    </row>
    <row r="176" spans="2:5" x14ac:dyDescent="0.2">
      <c r="B176" s="9" t="s">
        <v>276</v>
      </c>
      <c r="C176" s="30">
        <f>(C165*C169)/(Assumptions!C22*Assumptions!C21*C168)</f>
        <v>1.25</v>
      </c>
      <c r="E176" s="12" t="s">
        <v>277</v>
      </c>
    </row>
  </sheetData>
  <mergeCells count="11">
    <mergeCell ref="B163:E163"/>
    <mergeCell ref="B110:E110"/>
    <mergeCell ref="B112:E112"/>
    <mergeCell ref="B117:E117"/>
    <mergeCell ref="B122:E122"/>
    <mergeCell ref="B129:E129"/>
    <mergeCell ref="B5:E5"/>
    <mergeCell ref="B47:E47"/>
    <mergeCell ref="B62:E62"/>
    <mergeCell ref="B82:E82"/>
    <mergeCell ref="B104:E104"/>
  </mergeCells>
  <dataValidations count="2">
    <dataValidation type="list" sqref="C27" xr:uid="{00000000-0002-0000-0000-000000000000}">
      <formula1>"AWS,Azure"</formula1>
      <formula2>0</formula2>
    </dataValidation>
    <dataValidation type="list" sqref="C105 C144" xr:uid="{00000000-0002-0000-0000-000001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9"/>
  <sheetViews>
    <sheetView showGridLines="0" zoomScaleNormal="100" workbookViewId="0">
      <pane ySplit="1" topLeftCell="A2" activePane="bottomLeft" state="frozen"/>
      <selection pane="bottomLeft"/>
    </sheetView>
  </sheetViews>
  <sheetFormatPr baseColWidth="10" defaultColWidth="8.6640625" defaultRowHeight="15" x14ac:dyDescent="0.2"/>
  <cols>
    <col min="1" max="1" width="8" customWidth="1"/>
    <col min="2" max="2" width="7" customWidth="1"/>
    <col min="3" max="3" width="42" customWidth="1"/>
    <col min="4" max="4" width="24" customWidth="1"/>
    <col min="5" max="5" width="12" customWidth="1"/>
    <col min="6" max="6" width="13" customWidth="1"/>
    <col min="7" max="7" width="14" customWidth="1"/>
  </cols>
  <sheetData>
    <row r="1" spans="1:7" x14ac:dyDescent="0.2">
      <c r="A1" s="31" t="s">
        <v>278</v>
      </c>
      <c r="B1" s="31" t="s">
        <v>279</v>
      </c>
      <c r="C1" s="31" t="s">
        <v>280</v>
      </c>
      <c r="D1" s="31" t="s">
        <v>281</v>
      </c>
      <c r="E1" s="31" t="s">
        <v>282</v>
      </c>
      <c r="F1" s="31" t="s">
        <v>6</v>
      </c>
      <c r="G1" s="31" t="s">
        <v>283</v>
      </c>
    </row>
    <row r="2" spans="1:7" x14ac:dyDescent="0.2">
      <c r="A2" s="32" t="s">
        <v>284</v>
      </c>
      <c r="B2" s="33" t="s">
        <v>285</v>
      </c>
      <c r="C2" s="34" t="s">
        <v>286</v>
      </c>
      <c r="D2" s="32" t="s">
        <v>8</v>
      </c>
      <c r="E2" s="32">
        <v>3</v>
      </c>
      <c r="F2" s="35">
        <f>INDEX(Assumptions!$C$9:$C$18,MATCH(D2,Assumptions!$B$9:$B$18,0))</f>
        <v>1450</v>
      </c>
      <c r="G2" s="35">
        <f t="shared" ref="G2:G33" si="0">E2*F2</f>
        <v>4350</v>
      </c>
    </row>
    <row r="3" spans="1:7" x14ac:dyDescent="0.2">
      <c r="A3" s="32" t="s">
        <v>287</v>
      </c>
      <c r="B3" s="33" t="s">
        <v>285</v>
      </c>
      <c r="C3" s="34" t="s">
        <v>288</v>
      </c>
      <c r="D3" s="32" t="s">
        <v>8</v>
      </c>
      <c r="E3" s="32">
        <v>0.5</v>
      </c>
      <c r="F3" s="35">
        <f>INDEX(Assumptions!$C$9:$C$18,MATCH(D3,Assumptions!$B$9:$B$18,0))</f>
        <v>1450</v>
      </c>
      <c r="G3" s="35">
        <f t="shared" si="0"/>
        <v>725</v>
      </c>
    </row>
    <row r="4" spans="1:7" x14ac:dyDescent="0.2">
      <c r="A4" s="32" t="s">
        <v>289</v>
      </c>
      <c r="B4" s="33" t="s">
        <v>285</v>
      </c>
      <c r="C4" s="34" t="s">
        <v>290</v>
      </c>
      <c r="D4" s="32" t="s">
        <v>12</v>
      </c>
      <c r="E4" s="32">
        <v>5</v>
      </c>
      <c r="F4" s="35">
        <f>INDEX(Assumptions!$C$9:$C$18,MATCH(D4,Assumptions!$B$9:$B$18,0))</f>
        <v>1100</v>
      </c>
      <c r="G4" s="35">
        <f t="shared" si="0"/>
        <v>5500</v>
      </c>
    </row>
    <row r="5" spans="1:7" x14ac:dyDescent="0.2">
      <c r="A5" s="32" t="s">
        <v>291</v>
      </c>
      <c r="B5" s="33" t="s">
        <v>285</v>
      </c>
      <c r="C5" s="34" t="s">
        <v>292</v>
      </c>
      <c r="D5" s="32" t="s">
        <v>16</v>
      </c>
      <c r="E5" s="32">
        <v>3</v>
      </c>
      <c r="F5" s="35">
        <f>INDEX(Assumptions!$C$9:$C$18,MATCH(D5,Assumptions!$B$9:$B$18,0))</f>
        <v>1300</v>
      </c>
      <c r="G5" s="35">
        <f t="shared" si="0"/>
        <v>3900</v>
      </c>
    </row>
    <row r="6" spans="1:7" x14ac:dyDescent="0.2">
      <c r="A6" s="32" t="s">
        <v>293</v>
      </c>
      <c r="B6" s="33" t="s">
        <v>285</v>
      </c>
      <c r="C6" s="34" t="s">
        <v>294</v>
      </c>
      <c r="D6" s="32" t="s">
        <v>10</v>
      </c>
      <c r="E6" s="32">
        <v>3</v>
      </c>
      <c r="F6" s="35">
        <f>INDEX(Assumptions!$C$9:$C$18,MATCH(D6,Assumptions!$B$9:$B$18,0))</f>
        <v>1100</v>
      </c>
      <c r="G6" s="35">
        <f t="shared" si="0"/>
        <v>3300</v>
      </c>
    </row>
    <row r="7" spans="1:7" x14ac:dyDescent="0.2">
      <c r="A7" s="32" t="s">
        <v>295</v>
      </c>
      <c r="B7" s="33" t="s">
        <v>285</v>
      </c>
      <c r="C7" s="34" t="s">
        <v>296</v>
      </c>
      <c r="D7" s="32" t="s">
        <v>8</v>
      </c>
      <c r="E7" s="32">
        <v>2</v>
      </c>
      <c r="F7" s="35">
        <f>INDEX(Assumptions!$C$9:$C$18,MATCH(D7,Assumptions!$B$9:$B$18,0))</f>
        <v>1450</v>
      </c>
      <c r="G7" s="35">
        <f t="shared" si="0"/>
        <v>2900</v>
      </c>
    </row>
    <row r="8" spans="1:7" x14ac:dyDescent="0.2">
      <c r="A8" s="32" t="s">
        <v>297</v>
      </c>
      <c r="B8" s="33" t="s">
        <v>285</v>
      </c>
      <c r="C8" s="34" t="s">
        <v>298</v>
      </c>
      <c r="D8" s="32" t="s">
        <v>16</v>
      </c>
      <c r="E8" s="32">
        <v>2</v>
      </c>
      <c r="F8" s="35">
        <f>INDEX(Assumptions!$C$9:$C$18,MATCH(D8,Assumptions!$B$9:$B$18,0))</f>
        <v>1300</v>
      </c>
      <c r="G8" s="35">
        <f t="shared" si="0"/>
        <v>2600</v>
      </c>
    </row>
    <row r="9" spans="1:7" x14ac:dyDescent="0.2">
      <c r="A9" s="32" t="s">
        <v>299</v>
      </c>
      <c r="B9" s="36" t="s">
        <v>300</v>
      </c>
      <c r="C9" s="34" t="s">
        <v>301</v>
      </c>
      <c r="D9" s="32" t="s">
        <v>10</v>
      </c>
      <c r="E9" s="32">
        <v>5</v>
      </c>
      <c r="F9" s="35">
        <f>INDEX(Assumptions!$C$9:$C$18,MATCH(D9,Assumptions!$B$9:$B$18,0))</f>
        <v>1100</v>
      </c>
      <c r="G9" s="35">
        <f t="shared" si="0"/>
        <v>5500</v>
      </c>
    </row>
    <row r="10" spans="1:7" x14ac:dyDescent="0.2">
      <c r="A10" s="32" t="s">
        <v>302</v>
      </c>
      <c r="B10" s="36" t="s">
        <v>300</v>
      </c>
      <c r="C10" s="34" t="s">
        <v>303</v>
      </c>
      <c r="D10" s="32" t="s">
        <v>10</v>
      </c>
      <c r="E10" s="32">
        <v>5</v>
      </c>
      <c r="F10" s="35">
        <f>INDEX(Assumptions!$C$9:$C$18,MATCH(D10,Assumptions!$B$9:$B$18,0))</f>
        <v>1100</v>
      </c>
      <c r="G10" s="35">
        <f t="shared" si="0"/>
        <v>5500</v>
      </c>
    </row>
    <row r="11" spans="1:7" x14ac:dyDescent="0.2">
      <c r="A11" s="32" t="s">
        <v>304</v>
      </c>
      <c r="B11" s="36" t="s">
        <v>300</v>
      </c>
      <c r="C11" s="34" t="s">
        <v>305</v>
      </c>
      <c r="D11" s="32" t="s">
        <v>11</v>
      </c>
      <c r="E11" s="32">
        <v>4</v>
      </c>
      <c r="F11" s="35">
        <f>INDEX(Assumptions!$C$9:$C$18,MATCH(D11,Assumptions!$B$9:$B$18,0))</f>
        <v>1100</v>
      </c>
      <c r="G11" s="35">
        <f t="shared" si="0"/>
        <v>4400</v>
      </c>
    </row>
    <row r="12" spans="1:7" x14ac:dyDescent="0.2">
      <c r="A12" s="32" t="s">
        <v>306</v>
      </c>
      <c r="B12" s="36" t="s">
        <v>300</v>
      </c>
      <c r="C12" s="34" t="s">
        <v>307</v>
      </c>
      <c r="D12" s="32" t="s">
        <v>11</v>
      </c>
      <c r="E12" s="32">
        <v>4</v>
      </c>
      <c r="F12" s="35">
        <f>INDEX(Assumptions!$C$9:$C$18,MATCH(D12,Assumptions!$B$9:$B$18,0))</f>
        <v>1100</v>
      </c>
      <c r="G12" s="35">
        <f t="shared" si="0"/>
        <v>4400</v>
      </c>
    </row>
    <row r="13" spans="1:7" x14ac:dyDescent="0.2">
      <c r="A13" s="32" t="s">
        <v>308</v>
      </c>
      <c r="B13" s="36" t="s">
        <v>300</v>
      </c>
      <c r="C13" s="34" t="s">
        <v>309</v>
      </c>
      <c r="D13" s="32" t="s">
        <v>11</v>
      </c>
      <c r="E13" s="32">
        <v>4</v>
      </c>
      <c r="F13" s="35">
        <f>INDEX(Assumptions!$C$9:$C$18,MATCH(D13,Assumptions!$B$9:$B$18,0))</f>
        <v>1100</v>
      </c>
      <c r="G13" s="35">
        <f t="shared" si="0"/>
        <v>4400</v>
      </c>
    </row>
    <row r="14" spans="1:7" x14ac:dyDescent="0.2">
      <c r="A14" s="32" t="s">
        <v>310</v>
      </c>
      <c r="B14" s="36" t="s">
        <v>300</v>
      </c>
      <c r="C14" s="34" t="s">
        <v>311</v>
      </c>
      <c r="D14" s="32" t="s">
        <v>10</v>
      </c>
      <c r="E14" s="32">
        <v>4</v>
      </c>
      <c r="F14" s="35">
        <f>INDEX(Assumptions!$C$9:$C$18,MATCH(D14,Assumptions!$B$9:$B$18,0))</f>
        <v>1100</v>
      </c>
      <c r="G14" s="35">
        <f t="shared" si="0"/>
        <v>4400</v>
      </c>
    </row>
    <row r="15" spans="1:7" x14ac:dyDescent="0.2">
      <c r="A15" s="32" t="s">
        <v>312</v>
      </c>
      <c r="B15" s="36" t="s">
        <v>300</v>
      </c>
      <c r="C15" s="34" t="s">
        <v>313</v>
      </c>
      <c r="D15" s="32" t="s">
        <v>10</v>
      </c>
      <c r="E15" s="32">
        <v>3</v>
      </c>
      <c r="F15" s="35">
        <f>INDEX(Assumptions!$C$9:$C$18,MATCH(D15,Assumptions!$B$9:$B$18,0))</f>
        <v>1100</v>
      </c>
      <c r="G15" s="35">
        <f t="shared" si="0"/>
        <v>3300</v>
      </c>
    </row>
    <row r="16" spans="1:7" x14ac:dyDescent="0.2">
      <c r="A16" s="32" t="s">
        <v>314</v>
      </c>
      <c r="B16" s="36" t="s">
        <v>300</v>
      </c>
      <c r="C16" s="34" t="s">
        <v>315</v>
      </c>
      <c r="D16" s="32" t="s">
        <v>13</v>
      </c>
      <c r="E16" s="32">
        <v>5</v>
      </c>
      <c r="F16" s="35">
        <f>INDEX(Assumptions!$C$9:$C$18,MATCH(D16,Assumptions!$B$9:$B$18,0))</f>
        <v>1000</v>
      </c>
      <c r="G16" s="35">
        <f t="shared" si="0"/>
        <v>5000</v>
      </c>
    </row>
    <row r="17" spans="1:7" x14ac:dyDescent="0.2">
      <c r="A17" s="32" t="s">
        <v>316</v>
      </c>
      <c r="B17" s="36" t="s">
        <v>300</v>
      </c>
      <c r="C17" s="34" t="s">
        <v>317</v>
      </c>
      <c r="D17" s="32" t="s">
        <v>10</v>
      </c>
      <c r="E17" s="32">
        <v>2</v>
      </c>
      <c r="F17" s="35">
        <f>INDEX(Assumptions!$C$9:$C$18,MATCH(D17,Assumptions!$B$9:$B$18,0))</f>
        <v>1100</v>
      </c>
      <c r="G17" s="35">
        <f t="shared" si="0"/>
        <v>2200</v>
      </c>
    </row>
    <row r="18" spans="1:7" x14ac:dyDescent="0.2">
      <c r="A18" s="32" t="s">
        <v>318</v>
      </c>
      <c r="B18" s="36" t="s">
        <v>300</v>
      </c>
      <c r="C18" s="34" t="s">
        <v>319</v>
      </c>
      <c r="D18" s="32" t="s">
        <v>14</v>
      </c>
      <c r="E18" s="32">
        <v>4</v>
      </c>
      <c r="F18" s="35">
        <f>INDEX(Assumptions!$C$9:$C$18,MATCH(D18,Assumptions!$B$9:$B$18,0))</f>
        <v>900</v>
      </c>
      <c r="G18" s="35">
        <f t="shared" si="0"/>
        <v>3600</v>
      </c>
    </row>
    <row r="19" spans="1:7" x14ac:dyDescent="0.2">
      <c r="A19" s="32" t="s">
        <v>320</v>
      </c>
      <c r="B19" s="36" t="s">
        <v>300</v>
      </c>
      <c r="C19" s="34" t="s">
        <v>321</v>
      </c>
      <c r="D19" s="32" t="s">
        <v>17</v>
      </c>
      <c r="E19" s="32">
        <v>1</v>
      </c>
      <c r="F19" s="35">
        <f>INDEX(Assumptions!$C$9:$C$18,MATCH(D19,Assumptions!$B$9:$B$18,0))</f>
        <v>1050</v>
      </c>
      <c r="G19" s="35">
        <f t="shared" si="0"/>
        <v>1050</v>
      </c>
    </row>
    <row r="20" spans="1:7" x14ac:dyDescent="0.2">
      <c r="A20" s="32" t="s">
        <v>322</v>
      </c>
      <c r="B20" s="37" t="s">
        <v>323</v>
      </c>
      <c r="C20" s="34" t="s">
        <v>324</v>
      </c>
      <c r="D20" s="32" t="s">
        <v>12</v>
      </c>
      <c r="E20" s="32">
        <v>3</v>
      </c>
      <c r="F20" s="35">
        <f>INDEX(Assumptions!$C$9:$C$18,MATCH(D20,Assumptions!$B$9:$B$18,0))</f>
        <v>1100</v>
      </c>
      <c r="G20" s="35">
        <f t="shared" si="0"/>
        <v>3300</v>
      </c>
    </row>
    <row r="21" spans="1:7" x14ac:dyDescent="0.2">
      <c r="A21" s="32" t="s">
        <v>325</v>
      </c>
      <c r="B21" s="37" t="s">
        <v>323</v>
      </c>
      <c r="C21" s="34" t="s">
        <v>326</v>
      </c>
      <c r="D21" s="32" t="s">
        <v>11</v>
      </c>
      <c r="E21" s="32">
        <v>5</v>
      </c>
      <c r="F21" s="35">
        <f>INDEX(Assumptions!$C$9:$C$18,MATCH(D21,Assumptions!$B$9:$B$18,0))</f>
        <v>1100</v>
      </c>
      <c r="G21" s="35">
        <f t="shared" si="0"/>
        <v>5500</v>
      </c>
    </row>
    <row r="22" spans="1:7" x14ac:dyDescent="0.2">
      <c r="A22" s="32" t="s">
        <v>327</v>
      </c>
      <c r="B22" s="37" t="s">
        <v>323</v>
      </c>
      <c r="C22" s="34" t="s">
        <v>328</v>
      </c>
      <c r="D22" s="32" t="s">
        <v>11</v>
      </c>
      <c r="E22" s="32">
        <v>5</v>
      </c>
      <c r="F22" s="35">
        <f>INDEX(Assumptions!$C$9:$C$18,MATCH(D22,Assumptions!$B$9:$B$18,0))</f>
        <v>1100</v>
      </c>
      <c r="G22" s="35">
        <f t="shared" si="0"/>
        <v>5500</v>
      </c>
    </row>
    <row r="23" spans="1:7" x14ac:dyDescent="0.2">
      <c r="A23" s="32" t="s">
        <v>329</v>
      </c>
      <c r="B23" s="37" t="s">
        <v>323</v>
      </c>
      <c r="C23" s="34" t="s">
        <v>330</v>
      </c>
      <c r="D23" s="32" t="s">
        <v>12</v>
      </c>
      <c r="E23" s="32">
        <v>5</v>
      </c>
      <c r="F23" s="35">
        <f>INDEX(Assumptions!$C$9:$C$18,MATCH(D23,Assumptions!$B$9:$B$18,0))</f>
        <v>1100</v>
      </c>
      <c r="G23" s="35">
        <f t="shared" si="0"/>
        <v>5500</v>
      </c>
    </row>
    <row r="24" spans="1:7" x14ac:dyDescent="0.2">
      <c r="A24" s="32" t="s">
        <v>331</v>
      </c>
      <c r="B24" s="37" t="s">
        <v>323</v>
      </c>
      <c r="C24" s="34" t="s">
        <v>332</v>
      </c>
      <c r="D24" s="32" t="s">
        <v>10</v>
      </c>
      <c r="E24" s="32">
        <v>5</v>
      </c>
      <c r="F24" s="35">
        <f>INDEX(Assumptions!$C$9:$C$18,MATCH(D24,Assumptions!$B$9:$B$18,0))</f>
        <v>1100</v>
      </c>
      <c r="G24" s="35">
        <f t="shared" si="0"/>
        <v>5500</v>
      </c>
    </row>
    <row r="25" spans="1:7" x14ac:dyDescent="0.2">
      <c r="A25" s="32" t="s">
        <v>333</v>
      </c>
      <c r="B25" s="37" t="s">
        <v>323</v>
      </c>
      <c r="C25" s="34" t="s">
        <v>334</v>
      </c>
      <c r="D25" s="32" t="s">
        <v>13</v>
      </c>
      <c r="E25" s="32">
        <v>4</v>
      </c>
      <c r="F25" s="35">
        <f>INDEX(Assumptions!$C$9:$C$18,MATCH(D25,Assumptions!$B$9:$B$18,0))</f>
        <v>1000</v>
      </c>
      <c r="G25" s="35">
        <f t="shared" si="0"/>
        <v>4000</v>
      </c>
    </row>
    <row r="26" spans="1:7" x14ac:dyDescent="0.2">
      <c r="A26" s="32" t="s">
        <v>335</v>
      </c>
      <c r="B26" s="37" t="s">
        <v>323</v>
      </c>
      <c r="C26" s="34" t="s">
        <v>336</v>
      </c>
      <c r="D26" s="32" t="s">
        <v>10</v>
      </c>
      <c r="E26" s="32">
        <v>6</v>
      </c>
      <c r="F26" s="35">
        <f>INDEX(Assumptions!$C$9:$C$18,MATCH(D26,Assumptions!$B$9:$B$18,0))</f>
        <v>1100</v>
      </c>
      <c r="G26" s="35">
        <f t="shared" si="0"/>
        <v>6600</v>
      </c>
    </row>
    <row r="27" spans="1:7" x14ac:dyDescent="0.2">
      <c r="A27" s="32" t="s">
        <v>337</v>
      </c>
      <c r="B27" s="37" t="s">
        <v>323</v>
      </c>
      <c r="C27" s="34" t="s">
        <v>338</v>
      </c>
      <c r="D27" s="32" t="s">
        <v>13</v>
      </c>
      <c r="E27" s="32">
        <v>6</v>
      </c>
      <c r="F27" s="35">
        <f>INDEX(Assumptions!$C$9:$C$18,MATCH(D27,Assumptions!$B$9:$B$18,0))</f>
        <v>1000</v>
      </c>
      <c r="G27" s="35">
        <f t="shared" si="0"/>
        <v>6000</v>
      </c>
    </row>
    <row r="28" spans="1:7" x14ac:dyDescent="0.2">
      <c r="A28" s="32" t="s">
        <v>339</v>
      </c>
      <c r="B28" s="37" t="s">
        <v>323</v>
      </c>
      <c r="C28" s="34" t="s">
        <v>340</v>
      </c>
      <c r="D28" s="32" t="s">
        <v>11</v>
      </c>
      <c r="E28" s="32">
        <v>5</v>
      </c>
      <c r="F28" s="35">
        <f>INDEX(Assumptions!$C$9:$C$18,MATCH(D28,Assumptions!$B$9:$B$18,0))</f>
        <v>1100</v>
      </c>
      <c r="G28" s="35">
        <f t="shared" si="0"/>
        <v>5500</v>
      </c>
    </row>
    <row r="29" spans="1:7" x14ac:dyDescent="0.2">
      <c r="A29" s="32" t="s">
        <v>341</v>
      </c>
      <c r="B29" s="37" t="s">
        <v>323</v>
      </c>
      <c r="C29" s="34" t="s">
        <v>342</v>
      </c>
      <c r="D29" s="32" t="s">
        <v>10</v>
      </c>
      <c r="E29" s="32">
        <v>2</v>
      </c>
      <c r="F29" s="35">
        <f>INDEX(Assumptions!$C$9:$C$18,MATCH(D29,Assumptions!$B$9:$B$18,0))</f>
        <v>1100</v>
      </c>
      <c r="G29" s="35">
        <f t="shared" si="0"/>
        <v>2200</v>
      </c>
    </row>
    <row r="30" spans="1:7" x14ac:dyDescent="0.2">
      <c r="A30" s="32" t="s">
        <v>343</v>
      </c>
      <c r="B30" s="37" t="s">
        <v>323</v>
      </c>
      <c r="C30" s="34" t="s">
        <v>344</v>
      </c>
      <c r="D30" s="32" t="s">
        <v>14</v>
      </c>
      <c r="E30" s="32">
        <v>5</v>
      </c>
      <c r="F30" s="35">
        <f>INDEX(Assumptions!$C$9:$C$18,MATCH(D30,Assumptions!$B$9:$B$18,0))</f>
        <v>900</v>
      </c>
      <c r="G30" s="35">
        <f t="shared" si="0"/>
        <v>4500</v>
      </c>
    </row>
    <row r="31" spans="1:7" x14ac:dyDescent="0.2">
      <c r="A31" s="32" t="s">
        <v>345</v>
      </c>
      <c r="B31" s="37" t="s">
        <v>323</v>
      </c>
      <c r="C31" s="34" t="s">
        <v>346</v>
      </c>
      <c r="D31" s="32" t="s">
        <v>17</v>
      </c>
      <c r="E31" s="32">
        <v>1</v>
      </c>
      <c r="F31" s="35">
        <f>INDEX(Assumptions!$C$9:$C$18,MATCH(D31,Assumptions!$B$9:$B$18,0))</f>
        <v>1050</v>
      </c>
      <c r="G31" s="35">
        <f t="shared" si="0"/>
        <v>1050</v>
      </c>
    </row>
    <row r="32" spans="1:7" x14ac:dyDescent="0.2">
      <c r="A32" s="32" t="s">
        <v>347</v>
      </c>
      <c r="B32" s="38" t="s">
        <v>348</v>
      </c>
      <c r="C32" s="34" t="s">
        <v>349</v>
      </c>
      <c r="D32" s="32" t="s">
        <v>10</v>
      </c>
      <c r="E32" s="32">
        <v>4</v>
      </c>
      <c r="F32" s="35">
        <f>INDEX(Assumptions!$C$9:$C$18,MATCH(D32,Assumptions!$B$9:$B$18,0))</f>
        <v>1100</v>
      </c>
      <c r="G32" s="35">
        <f t="shared" si="0"/>
        <v>4400</v>
      </c>
    </row>
    <row r="33" spans="1:7" x14ac:dyDescent="0.2">
      <c r="A33" s="32" t="s">
        <v>350</v>
      </c>
      <c r="B33" s="38" t="s">
        <v>348</v>
      </c>
      <c r="C33" s="34" t="s">
        <v>351</v>
      </c>
      <c r="D33" s="32" t="s">
        <v>10</v>
      </c>
      <c r="E33" s="32">
        <v>3</v>
      </c>
      <c r="F33" s="35">
        <f>INDEX(Assumptions!$C$9:$C$18,MATCH(D33,Assumptions!$B$9:$B$18,0))</f>
        <v>1100</v>
      </c>
      <c r="G33" s="35">
        <f t="shared" si="0"/>
        <v>3300</v>
      </c>
    </row>
    <row r="34" spans="1:7" x14ac:dyDescent="0.2">
      <c r="A34" s="32" t="s">
        <v>352</v>
      </c>
      <c r="B34" s="38" t="s">
        <v>348</v>
      </c>
      <c r="C34" s="34" t="s">
        <v>353</v>
      </c>
      <c r="D34" s="32" t="s">
        <v>11</v>
      </c>
      <c r="E34" s="32">
        <v>6</v>
      </c>
      <c r="F34" s="35">
        <f>INDEX(Assumptions!$C$9:$C$18,MATCH(D34,Assumptions!$B$9:$B$18,0))</f>
        <v>1100</v>
      </c>
      <c r="G34" s="35">
        <f t="shared" ref="G34:G65" si="1">E34*F34</f>
        <v>6600</v>
      </c>
    </row>
    <row r="35" spans="1:7" x14ac:dyDescent="0.2">
      <c r="A35" s="32" t="s">
        <v>354</v>
      </c>
      <c r="B35" s="38" t="s">
        <v>348</v>
      </c>
      <c r="C35" s="34" t="s">
        <v>355</v>
      </c>
      <c r="D35" s="32" t="s">
        <v>10</v>
      </c>
      <c r="E35" s="32">
        <v>2</v>
      </c>
      <c r="F35" s="35">
        <f>INDEX(Assumptions!$C$9:$C$18,MATCH(D35,Assumptions!$B$9:$B$18,0))</f>
        <v>1100</v>
      </c>
      <c r="G35" s="35">
        <f t="shared" si="1"/>
        <v>2200</v>
      </c>
    </row>
    <row r="36" spans="1:7" x14ac:dyDescent="0.2">
      <c r="A36" s="32" t="s">
        <v>356</v>
      </c>
      <c r="B36" s="38" t="s">
        <v>348</v>
      </c>
      <c r="C36" s="34" t="s">
        <v>357</v>
      </c>
      <c r="D36" s="32" t="s">
        <v>13</v>
      </c>
      <c r="E36" s="32">
        <v>4</v>
      </c>
      <c r="F36" s="35">
        <f>INDEX(Assumptions!$C$9:$C$18,MATCH(D36,Assumptions!$B$9:$B$18,0))</f>
        <v>1000</v>
      </c>
      <c r="G36" s="35">
        <f t="shared" si="1"/>
        <v>4000</v>
      </c>
    </row>
    <row r="37" spans="1:7" x14ac:dyDescent="0.2">
      <c r="A37" s="32" t="s">
        <v>358</v>
      </c>
      <c r="B37" s="38" t="s">
        <v>348</v>
      </c>
      <c r="C37" s="34" t="s">
        <v>359</v>
      </c>
      <c r="D37" s="32" t="s">
        <v>10</v>
      </c>
      <c r="E37" s="32">
        <v>2</v>
      </c>
      <c r="F37" s="35">
        <f>INDEX(Assumptions!$C$9:$C$18,MATCH(D37,Assumptions!$B$9:$B$18,0))</f>
        <v>1100</v>
      </c>
      <c r="G37" s="35">
        <f t="shared" si="1"/>
        <v>2200</v>
      </c>
    </row>
    <row r="38" spans="1:7" x14ac:dyDescent="0.2">
      <c r="A38" s="32" t="s">
        <v>360</v>
      </c>
      <c r="B38" s="38" t="s">
        <v>348</v>
      </c>
      <c r="C38" s="34" t="s">
        <v>361</v>
      </c>
      <c r="D38" s="32" t="s">
        <v>13</v>
      </c>
      <c r="E38" s="32">
        <v>3</v>
      </c>
      <c r="F38" s="35">
        <f>INDEX(Assumptions!$C$9:$C$18,MATCH(D38,Assumptions!$B$9:$B$18,0))</f>
        <v>1000</v>
      </c>
      <c r="G38" s="35">
        <f t="shared" si="1"/>
        <v>3000</v>
      </c>
    </row>
    <row r="39" spans="1:7" x14ac:dyDescent="0.2">
      <c r="A39" s="32" t="s">
        <v>362</v>
      </c>
      <c r="B39" s="38" t="s">
        <v>348</v>
      </c>
      <c r="C39" s="34" t="s">
        <v>363</v>
      </c>
      <c r="D39" s="32" t="s">
        <v>14</v>
      </c>
      <c r="E39" s="32">
        <v>4</v>
      </c>
      <c r="F39" s="35">
        <f>INDEX(Assumptions!$C$9:$C$18,MATCH(D39,Assumptions!$B$9:$B$18,0))</f>
        <v>900</v>
      </c>
      <c r="G39" s="35">
        <f t="shared" si="1"/>
        <v>3600</v>
      </c>
    </row>
    <row r="40" spans="1:7" x14ac:dyDescent="0.2">
      <c r="A40" s="32" t="s">
        <v>364</v>
      </c>
      <c r="B40" s="39" t="s">
        <v>365</v>
      </c>
      <c r="C40" s="34" t="s">
        <v>366</v>
      </c>
      <c r="D40" s="32" t="s">
        <v>11</v>
      </c>
      <c r="E40" s="32">
        <v>4</v>
      </c>
      <c r="F40" s="35">
        <f>INDEX(Assumptions!$C$9:$C$18,MATCH(D40,Assumptions!$B$9:$B$18,0))</f>
        <v>1100</v>
      </c>
      <c r="G40" s="35">
        <f t="shared" si="1"/>
        <v>4400</v>
      </c>
    </row>
    <row r="41" spans="1:7" x14ac:dyDescent="0.2">
      <c r="A41" s="32" t="s">
        <v>367</v>
      </c>
      <c r="B41" s="39" t="s">
        <v>365</v>
      </c>
      <c r="C41" s="34" t="s">
        <v>368</v>
      </c>
      <c r="D41" s="32" t="s">
        <v>10</v>
      </c>
      <c r="E41" s="32">
        <v>4</v>
      </c>
      <c r="F41" s="35">
        <f>INDEX(Assumptions!$C$9:$C$18,MATCH(D41,Assumptions!$B$9:$B$18,0))</f>
        <v>1100</v>
      </c>
      <c r="G41" s="35">
        <f t="shared" si="1"/>
        <v>4400</v>
      </c>
    </row>
    <row r="42" spans="1:7" x14ac:dyDescent="0.2">
      <c r="A42" s="32" t="s">
        <v>369</v>
      </c>
      <c r="B42" s="39" t="s">
        <v>365</v>
      </c>
      <c r="C42" s="34" t="s">
        <v>370</v>
      </c>
      <c r="D42" s="32" t="s">
        <v>10</v>
      </c>
      <c r="E42" s="32">
        <v>2</v>
      </c>
      <c r="F42" s="35">
        <f>INDEX(Assumptions!$C$9:$C$18,MATCH(D42,Assumptions!$B$9:$B$18,0))</f>
        <v>1100</v>
      </c>
      <c r="G42" s="35">
        <f t="shared" si="1"/>
        <v>2200</v>
      </c>
    </row>
    <row r="43" spans="1:7" x14ac:dyDescent="0.2">
      <c r="A43" s="32" t="s">
        <v>371</v>
      </c>
      <c r="B43" s="39" t="s">
        <v>365</v>
      </c>
      <c r="C43" s="34" t="s">
        <v>372</v>
      </c>
      <c r="D43" s="32" t="s">
        <v>10</v>
      </c>
      <c r="E43" s="32">
        <v>3</v>
      </c>
      <c r="F43" s="35">
        <f>INDEX(Assumptions!$C$9:$C$18,MATCH(D43,Assumptions!$B$9:$B$18,0))</f>
        <v>1100</v>
      </c>
      <c r="G43" s="35">
        <f t="shared" si="1"/>
        <v>3300</v>
      </c>
    </row>
    <row r="44" spans="1:7" x14ac:dyDescent="0.2">
      <c r="A44" s="32" t="s">
        <v>373</v>
      </c>
      <c r="B44" s="39" t="s">
        <v>365</v>
      </c>
      <c r="C44" s="34" t="s">
        <v>374</v>
      </c>
      <c r="D44" s="32" t="s">
        <v>13</v>
      </c>
      <c r="E44" s="32">
        <v>5</v>
      </c>
      <c r="F44" s="35">
        <f>INDEX(Assumptions!$C$9:$C$18,MATCH(D44,Assumptions!$B$9:$B$18,0))</f>
        <v>1000</v>
      </c>
      <c r="G44" s="35">
        <f t="shared" si="1"/>
        <v>5000</v>
      </c>
    </row>
    <row r="45" spans="1:7" x14ac:dyDescent="0.2">
      <c r="A45" s="32" t="s">
        <v>375</v>
      </c>
      <c r="B45" s="39" t="s">
        <v>365</v>
      </c>
      <c r="C45" s="34" t="s">
        <v>376</v>
      </c>
      <c r="D45" s="32" t="s">
        <v>11</v>
      </c>
      <c r="E45" s="32">
        <v>3</v>
      </c>
      <c r="F45" s="35">
        <f>INDEX(Assumptions!$C$9:$C$18,MATCH(D45,Assumptions!$B$9:$B$18,0))</f>
        <v>1100</v>
      </c>
      <c r="G45" s="35">
        <f t="shared" si="1"/>
        <v>3300</v>
      </c>
    </row>
    <row r="46" spans="1:7" x14ac:dyDescent="0.2">
      <c r="A46" s="32" t="s">
        <v>377</v>
      </c>
      <c r="B46" s="39" t="s">
        <v>365</v>
      </c>
      <c r="C46" s="34" t="s">
        <v>378</v>
      </c>
      <c r="D46" s="32" t="s">
        <v>14</v>
      </c>
      <c r="E46" s="32">
        <v>4</v>
      </c>
      <c r="F46" s="35">
        <f>INDEX(Assumptions!$C$9:$C$18,MATCH(D46,Assumptions!$B$9:$B$18,0))</f>
        <v>900</v>
      </c>
      <c r="G46" s="35">
        <f t="shared" si="1"/>
        <v>3600</v>
      </c>
    </row>
    <row r="47" spans="1:7" x14ac:dyDescent="0.2">
      <c r="A47" s="32" t="s">
        <v>379</v>
      </c>
      <c r="B47" s="40" t="s">
        <v>380</v>
      </c>
      <c r="C47" s="34" t="s">
        <v>381</v>
      </c>
      <c r="D47" s="32" t="s">
        <v>11</v>
      </c>
      <c r="E47" s="32">
        <v>4</v>
      </c>
      <c r="F47" s="35">
        <f>INDEX(Assumptions!$C$9:$C$18,MATCH(D47,Assumptions!$B$9:$B$18,0))</f>
        <v>1100</v>
      </c>
      <c r="G47" s="35">
        <f t="shared" si="1"/>
        <v>4400</v>
      </c>
    </row>
    <row r="48" spans="1:7" x14ac:dyDescent="0.2">
      <c r="A48" s="32" t="s">
        <v>382</v>
      </c>
      <c r="B48" s="40" t="s">
        <v>380</v>
      </c>
      <c r="C48" s="34" t="s">
        <v>383</v>
      </c>
      <c r="D48" s="32" t="s">
        <v>13</v>
      </c>
      <c r="E48" s="32">
        <v>5</v>
      </c>
      <c r="F48" s="35">
        <f>INDEX(Assumptions!$C$9:$C$18,MATCH(D48,Assumptions!$B$9:$B$18,0))</f>
        <v>1000</v>
      </c>
      <c r="G48" s="35">
        <f t="shared" si="1"/>
        <v>5000</v>
      </c>
    </row>
    <row r="49" spans="1:7" x14ac:dyDescent="0.2">
      <c r="A49" s="32" t="s">
        <v>384</v>
      </c>
      <c r="B49" s="40" t="s">
        <v>380</v>
      </c>
      <c r="C49" s="34" t="s">
        <v>385</v>
      </c>
      <c r="D49" s="32" t="s">
        <v>11</v>
      </c>
      <c r="E49" s="32">
        <v>3</v>
      </c>
      <c r="F49" s="35">
        <f>INDEX(Assumptions!$C$9:$C$18,MATCH(D49,Assumptions!$B$9:$B$18,0))</f>
        <v>1100</v>
      </c>
      <c r="G49" s="35">
        <f t="shared" si="1"/>
        <v>3300</v>
      </c>
    </row>
    <row r="50" spans="1:7" x14ac:dyDescent="0.2">
      <c r="A50" s="32" t="s">
        <v>386</v>
      </c>
      <c r="B50" s="40" t="s">
        <v>380</v>
      </c>
      <c r="C50" s="34" t="s">
        <v>387</v>
      </c>
      <c r="D50" s="32" t="s">
        <v>10</v>
      </c>
      <c r="E50" s="32">
        <v>2</v>
      </c>
      <c r="F50" s="35">
        <f>INDEX(Assumptions!$C$9:$C$18,MATCH(D50,Assumptions!$B$9:$B$18,0))</f>
        <v>1100</v>
      </c>
      <c r="G50" s="35">
        <f t="shared" si="1"/>
        <v>2200</v>
      </c>
    </row>
    <row r="51" spans="1:7" x14ac:dyDescent="0.2">
      <c r="A51" s="32" t="s">
        <v>388</v>
      </c>
      <c r="B51" s="40" t="s">
        <v>380</v>
      </c>
      <c r="C51" s="34" t="s">
        <v>389</v>
      </c>
      <c r="D51" s="32" t="s">
        <v>14</v>
      </c>
      <c r="E51" s="32">
        <v>3</v>
      </c>
      <c r="F51" s="35">
        <f>INDEX(Assumptions!$C$9:$C$18,MATCH(D51,Assumptions!$B$9:$B$18,0))</f>
        <v>900</v>
      </c>
      <c r="G51" s="35">
        <f t="shared" si="1"/>
        <v>2700</v>
      </c>
    </row>
    <row r="52" spans="1:7" x14ac:dyDescent="0.2">
      <c r="A52" s="32" t="s">
        <v>390</v>
      </c>
      <c r="B52" s="41" t="s">
        <v>391</v>
      </c>
      <c r="C52" s="34" t="s">
        <v>392</v>
      </c>
      <c r="D52" s="32" t="s">
        <v>14</v>
      </c>
      <c r="E52" s="32">
        <v>5</v>
      </c>
      <c r="F52" s="35">
        <f>INDEX(Assumptions!$C$9:$C$18,MATCH(D52,Assumptions!$B$9:$B$18,0))</f>
        <v>900</v>
      </c>
      <c r="G52" s="35">
        <f t="shared" si="1"/>
        <v>4500</v>
      </c>
    </row>
    <row r="53" spans="1:7" x14ac:dyDescent="0.2">
      <c r="A53" s="32" t="s">
        <v>393</v>
      </c>
      <c r="B53" s="41" t="s">
        <v>391</v>
      </c>
      <c r="C53" s="34" t="s">
        <v>394</v>
      </c>
      <c r="D53" s="32" t="s">
        <v>15</v>
      </c>
      <c r="E53" s="32">
        <v>4</v>
      </c>
      <c r="F53" s="35">
        <f>INDEX(Assumptions!$C$9:$C$18,MATCH(D53,Assumptions!$B$9:$B$18,0))</f>
        <v>1250</v>
      </c>
      <c r="G53" s="35">
        <f t="shared" si="1"/>
        <v>5000</v>
      </c>
    </row>
    <row r="54" spans="1:7" x14ac:dyDescent="0.2">
      <c r="A54" s="32" t="s">
        <v>395</v>
      </c>
      <c r="B54" s="41" t="s">
        <v>391</v>
      </c>
      <c r="C54" s="34" t="s">
        <v>396</v>
      </c>
      <c r="D54" s="32" t="s">
        <v>16</v>
      </c>
      <c r="E54" s="32">
        <v>3</v>
      </c>
      <c r="F54" s="35">
        <f>INDEX(Assumptions!$C$9:$C$18,MATCH(D54,Assumptions!$B$9:$B$18,0))</f>
        <v>1300</v>
      </c>
      <c r="G54" s="35">
        <f t="shared" si="1"/>
        <v>3900</v>
      </c>
    </row>
    <row r="55" spans="1:7" x14ac:dyDescent="0.2">
      <c r="A55" s="32" t="s">
        <v>397</v>
      </c>
      <c r="B55" s="41" t="s">
        <v>391</v>
      </c>
      <c r="C55" s="34" t="s">
        <v>398</v>
      </c>
      <c r="D55" s="32" t="s">
        <v>14</v>
      </c>
      <c r="E55" s="32">
        <v>3</v>
      </c>
      <c r="F55" s="35">
        <f>INDEX(Assumptions!$C$9:$C$18,MATCH(D55,Assumptions!$B$9:$B$18,0))</f>
        <v>900</v>
      </c>
      <c r="G55" s="35">
        <f t="shared" si="1"/>
        <v>2700</v>
      </c>
    </row>
    <row r="56" spans="1:7" x14ac:dyDescent="0.2">
      <c r="A56" s="32" t="s">
        <v>399</v>
      </c>
      <c r="B56" s="41" t="s">
        <v>391</v>
      </c>
      <c r="C56" s="34" t="s">
        <v>400</v>
      </c>
      <c r="D56" s="32" t="s">
        <v>16</v>
      </c>
      <c r="E56" s="32">
        <v>4</v>
      </c>
      <c r="F56" s="35">
        <f>INDEX(Assumptions!$C$9:$C$18,MATCH(D56,Assumptions!$B$9:$B$18,0))</f>
        <v>1300</v>
      </c>
      <c r="G56" s="35">
        <f t="shared" si="1"/>
        <v>5200</v>
      </c>
    </row>
    <row r="57" spans="1:7" x14ac:dyDescent="0.2">
      <c r="A57" s="32" t="s">
        <v>401</v>
      </c>
      <c r="B57" s="41" t="s">
        <v>391</v>
      </c>
      <c r="C57" s="34" t="s">
        <v>402</v>
      </c>
      <c r="D57" s="32" t="s">
        <v>17</v>
      </c>
      <c r="E57" s="32">
        <v>2</v>
      </c>
      <c r="F57" s="35">
        <f>INDEX(Assumptions!$C$9:$C$18,MATCH(D57,Assumptions!$B$9:$B$18,0))</f>
        <v>1050</v>
      </c>
      <c r="G57" s="35">
        <f t="shared" si="1"/>
        <v>2100</v>
      </c>
    </row>
    <row r="58" spans="1:7" x14ac:dyDescent="0.2">
      <c r="A58" s="32" t="s">
        <v>403</v>
      </c>
      <c r="B58" s="41" t="s">
        <v>391</v>
      </c>
      <c r="C58" s="34" t="s">
        <v>404</v>
      </c>
      <c r="D58" s="32" t="s">
        <v>8</v>
      </c>
      <c r="E58" s="32">
        <v>2</v>
      </c>
      <c r="F58" s="35">
        <f>INDEX(Assumptions!$C$9:$C$18,MATCH(D58,Assumptions!$B$9:$B$18,0))</f>
        <v>1450</v>
      </c>
      <c r="G58" s="35">
        <f t="shared" si="1"/>
        <v>2900</v>
      </c>
    </row>
    <row r="59" spans="1:7" x14ac:dyDescent="0.2">
      <c r="A59" s="19"/>
      <c r="B59" s="19"/>
      <c r="C59" s="14" t="s">
        <v>405</v>
      </c>
      <c r="D59" s="19"/>
      <c r="E59" s="14">
        <f>SUM(E2:E58)</f>
        <v>204.5</v>
      </c>
      <c r="F59" s="19"/>
      <c r="G59" s="18">
        <f>SUM(G2:G58)</f>
        <v>221575</v>
      </c>
    </row>
  </sheetData>
  <autoFilter ref="A1:G58"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E79"/>
  <sheetViews>
    <sheetView showGridLines="0" zoomScaleNormal="100" workbookViewId="0"/>
  </sheetViews>
  <sheetFormatPr baseColWidth="10" defaultColWidth="8.6640625" defaultRowHeight="15" x14ac:dyDescent="0.2"/>
  <cols>
    <col min="1" max="1" width="2" customWidth="1"/>
    <col min="2" max="2" width="42" customWidth="1"/>
    <col min="3" max="4" width="16" customWidth="1"/>
    <col min="5" max="5" width="46" customWidth="1"/>
  </cols>
  <sheetData>
    <row r="2" spans="2:5" ht="20" x14ac:dyDescent="0.2">
      <c r="B2" s="42" t="s">
        <v>406</v>
      </c>
    </row>
    <row r="3" spans="2:5" x14ac:dyDescent="0.2">
      <c r="B3" s="1" t="s">
        <v>407</v>
      </c>
      <c r="C3" s="1"/>
      <c r="D3" s="1"/>
      <c r="E3" s="1"/>
    </row>
    <row r="5" spans="2:5" ht="17" x14ac:dyDescent="0.2">
      <c r="B5" s="7" t="s">
        <v>408</v>
      </c>
    </row>
    <row r="6" spans="2:5" x14ac:dyDescent="0.2">
      <c r="B6" s="8" t="s">
        <v>5</v>
      </c>
      <c r="C6" s="8" t="s">
        <v>282</v>
      </c>
      <c r="D6" s="8" t="s">
        <v>409</v>
      </c>
    </row>
    <row r="7" spans="2:5" x14ac:dyDescent="0.2">
      <c r="B7" s="9" t="s">
        <v>8</v>
      </c>
      <c r="C7" s="11">
        <f>SUMIF('Task Cost Detail'!$D$2:$D$1000,B7,'Task Cost Detail'!$E$2:$E$1000)</f>
        <v>7.5</v>
      </c>
      <c r="D7" s="43">
        <f>SUMIF('Task Cost Detail'!$D$2:$D$1000,B7,'Task Cost Detail'!$G$2:$G$1000)</f>
        <v>10875</v>
      </c>
    </row>
    <row r="8" spans="2:5" x14ac:dyDescent="0.2">
      <c r="B8" s="9" t="s">
        <v>10</v>
      </c>
      <c r="C8" s="11">
        <f>SUMIF('Task Cost Detail'!$D$2:$D$1000,B8,'Task Cost Detail'!$E$2:$E$1000)</f>
        <v>57</v>
      </c>
      <c r="D8" s="43">
        <f>SUMIF('Task Cost Detail'!$D$2:$D$1000,B8,'Task Cost Detail'!$G$2:$G$1000)</f>
        <v>62700</v>
      </c>
    </row>
    <row r="9" spans="2:5" x14ac:dyDescent="0.2">
      <c r="B9" s="9" t="s">
        <v>11</v>
      </c>
      <c r="C9" s="11">
        <f>SUMIF('Task Cost Detail'!$D$2:$D$1000,B9,'Task Cost Detail'!$E$2:$E$1000)</f>
        <v>47</v>
      </c>
      <c r="D9" s="43">
        <f>SUMIF('Task Cost Detail'!$D$2:$D$1000,B9,'Task Cost Detail'!$G$2:$G$1000)</f>
        <v>51700</v>
      </c>
    </row>
    <row r="10" spans="2:5" x14ac:dyDescent="0.2">
      <c r="B10" s="9" t="s">
        <v>12</v>
      </c>
      <c r="C10" s="11">
        <f>SUMIF('Task Cost Detail'!$D$2:$D$1000,B10,'Task Cost Detail'!$E$2:$E$1000)</f>
        <v>13</v>
      </c>
      <c r="D10" s="43">
        <f>SUMIF('Task Cost Detail'!$D$2:$D$1000,B10,'Task Cost Detail'!$G$2:$G$1000)</f>
        <v>14300</v>
      </c>
    </row>
    <row r="11" spans="2:5" x14ac:dyDescent="0.2">
      <c r="B11" s="9" t="s">
        <v>13</v>
      </c>
      <c r="C11" s="11">
        <f>SUMIF('Task Cost Detail'!$D$2:$D$1000,B11,'Task Cost Detail'!$E$2:$E$1000)</f>
        <v>32</v>
      </c>
      <c r="D11" s="43">
        <f>SUMIF('Task Cost Detail'!$D$2:$D$1000,B11,'Task Cost Detail'!$G$2:$G$1000)</f>
        <v>32000</v>
      </c>
    </row>
    <row r="12" spans="2:5" x14ac:dyDescent="0.2">
      <c r="B12" s="9" t="s">
        <v>14</v>
      </c>
      <c r="C12" s="11">
        <f>SUMIF('Task Cost Detail'!$D$2:$D$1000,B12,'Task Cost Detail'!$E$2:$E$1000)</f>
        <v>28</v>
      </c>
      <c r="D12" s="43">
        <f>SUMIF('Task Cost Detail'!$D$2:$D$1000,B12,'Task Cost Detail'!$G$2:$G$1000)</f>
        <v>25200</v>
      </c>
    </row>
    <row r="13" spans="2:5" x14ac:dyDescent="0.2">
      <c r="B13" s="9" t="s">
        <v>15</v>
      </c>
      <c r="C13" s="11">
        <f>SUMIF('Task Cost Detail'!$D$2:$D$1000,B13,'Task Cost Detail'!$E$2:$E$1000)</f>
        <v>4</v>
      </c>
      <c r="D13" s="43">
        <f>SUMIF('Task Cost Detail'!$D$2:$D$1000,B13,'Task Cost Detail'!$G$2:$G$1000)</f>
        <v>5000</v>
      </c>
    </row>
    <row r="14" spans="2:5" x14ac:dyDescent="0.2">
      <c r="B14" s="9" t="s">
        <v>16</v>
      </c>
      <c r="C14" s="11">
        <f>SUMIF('Task Cost Detail'!$D$2:$D$1000,B14,'Task Cost Detail'!$E$2:$E$1000)</f>
        <v>12</v>
      </c>
      <c r="D14" s="43">
        <f>SUMIF('Task Cost Detail'!$D$2:$D$1000,B14,'Task Cost Detail'!$G$2:$G$1000)</f>
        <v>15600</v>
      </c>
    </row>
    <row r="15" spans="2:5" x14ac:dyDescent="0.2">
      <c r="B15" s="9" t="s">
        <v>17</v>
      </c>
      <c r="C15" s="11">
        <f>SUMIF('Task Cost Detail'!$D$2:$D$1000,B15,'Task Cost Detail'!$E$2:$E$1000)</f>
        <v>4</v>
      </c>
      <c r="D15" s="43">
        <f>SUMIF('Task Cost Detail'!$D$2:$D$1000,B15,'Task Cost Detail'!$G$2:$G$1000)</f>
        <v>4200</v>
      </c>
    </row>
    <row r="16" spans="2:5" x14ac:dyDescent="0.2">
      <c r="B16" s="9" t="s">
        <v>18</v>
      </c>
      <c r="C16" s="11">
        <f>SUMIF('Task Cost Detail'!$D$2:$D$1000,B16,'Task Cost Detail'!$E$2:$E$1000)</f>
        <v>0</v>
      </c>
      <c r="D16" s="43">
        <f>SUMIF('Task Cost Detail'!$D$2:$D$1000,B16,'Task Cost Detail'!$G$2:$G$1000)</f>
        <v>0</v>
      </c>
    </row>
    <row r="17" spans="2:4" x14ac:dyDescent="0.2">
      <c r="B17" s="14" t="s">
        <v>410</v>
      </c>
      <c r="C17" s="14">
        <f>SUM(C7:C16)</f>
        <v>204.5</v>
      </c>
      <c r="D17" s="18">
        <f>SUM(D7:D16)</f>
        <v>221575</v>
      </c>
    </row>
    <row r="19" spans="2:4" ht="17" x14ac:dyDescent="0.2">
      <c r="B19" s="7" t="s">
        <v>411</v>
      </c>
    </row>
    <row r="20" spans="2:4" x14ac:dyDescent="0.2">
      <c r="B20" s="8" t="s">
        <v>279</v>
      </c>
      <c r="C20" s="8" t="s">
        <v>412</v>
      </c>
      <c r="D20" s="8" t="s">
        <v>409</v>
      </c>
    </row>
    <row r="21" spans="2:4" x14ac:dyDescent="0.2">
      <c r="B21" s="44" t="s">
        <v>285</v>
      </c>
      <c r="C21" s="45" t="s">
        <v>413</v>
      </c>
      <c r="D21" s="46">
        <f>SUMIF('Task Cost Detail'!$B$2:$B$1000,B21,'Task Cost Detail'!$G$2:$G$1000)</f>
        <v>23275</v>
      </c>
    </row>
    <row r="22" spans="2:4" x14ac:dyDescent="0.2">
      <c r="B22" s="47" t="s">
        <v>300</v>
      </c>
      <c r="C22" s="48" t="s">
        <v>414</v>
      </c>
      <c r="D22" s="49">
        <f>SUMIF('Task Cost Detail'!$B$2:$B$1000,B22,'Task Cost Detail'!$G$2:$G$1000)</f>
        <v>43750</v>
      </c>
    </row>
    <row r="23" spans="2:4" x14ac:dyDescent="0.2">
      <c r="B23" s="50" t="s">
        <v>323</v>
      </c>
      <c r="C23" s="51" t="s">
        <v>415</v>
      </c>
      <c r="D23" s="52">
        <f>SUMIF('Task Cost Detail'!$B$2:$B$1000,B23,'Task Cost Detail'!$G$2:$G$1000)</f>
        <v>55150</v>
      </c>
    </row>
    <row r="24" spans="2:4" x14ac:dyDescent="0.2">
      <c r="B24" s="53" t="s">
        <v>348</v>
      </c>
      <c r="C24" s="54" t="s">
        <v>416</v>
      </c>
      <c r="D24" s="55">
        <f>SUMIF('Task Cost Detail'!$B$2:$B$1000,B24,'Task Cost Detail'!$G$2:$G$1000)</f>
        <v>29300</v>
      </c>
    </row>
    <row r="25" spans="2:4" x14ac:dyDescent="0.2">
      <c r="B25" s="56" t="s">
        <v>365</v>
      </c>
      <c r="C25" s="57" t="s">
        <v>417</v>
      </c>
      <c r="D25" s="58">
        <f>SUMIF('Task Cost Detail'!$B$2:$B$1000,B25,'Task Cost Detail'!$G$2:$G$1000)</f>
        <v>26200</v>
      </c>
    </row>
    <row r="26" spans="2:4" x14ac:dyDescent="0.2">
      <c r="B26" s="59" t="s">
        <v>380</v>
      </c>
      <c r="C26" s="60" t="s">
        <v>418</v>
      </c>
      <c r="D26" s="61">
        <f>SUMIF('Task Cost Detail'!$B$2:$B$1000,B26,'Task Cost Detail'!$G$2:$G$1000)</f>
        <v>17600</v>
      </c>
    </row>
    <row r="27" spans="2:4" x14ac:dyDescent="0.2">
      <c r="B27" s="62" t="s">
        <v>391</v>
      </c>
      <c r="C27" s="63" t="s">
        <v>419</v>
      </c>
      <c r="D27" s="64">
        <f>SUMIF('Task Cost Detail'!$B$2:$B$1000,B27,'Task Cost Detail'!$G$2:$G$1000)</f>
        <v>26300</v>
      </c>
    </row>
    <row r="29" spans="2:4" ht="17" x14ac:dyDescent="0.2">
      <c r="B29" s="7" t="s">
        <v>420</v>
      </c>
    </row>
    <row r="30" spans="2:4" x14ac:dyDescent="0.2">
      <c r="B30" s="31" t="s">
        <v>161</v>
      </c>
      <c r="C30" s="31" t="s">
        <v>421</v>
      </c>
      <c r="D30" s="31" t="s">
        <v>422</v>
      </c>
    </row>
    <row r="31" spans="2:4" x14ac:dyDescent="0.2">
      <c r="B31" s="9" t="s">
        <v>423</v>
      </c>
      <c r="C31" s="11">
        <f>Assumptions!C44</f>
        <v>3</v>
      </c>
      <c r="D31" s="43">
        <f>Assumptions!C44*Assumptions!C42</f>
        <v>105000</v>
      </c>
    </row>
    <row r="32" spans="2:4" x14ac:dyDescent="0.2">
      <c r="B32" s="9" t="s">
        <v>424</v>
      </c>
      <c r="C32" s="11">
        <f>Assumptions!C83</f>
        <v>3</v>
      </c>
      <c r="D32" s="43">
        <f>Assumptions!C83*Assumptions!C84</f>
        <v>60000</v>
      </c>
    </row>
    <row r="33" spans="2:4" x14ac:dyDescent="0.2">
      <c r="B33" s="9" t="s">
        <v>425</v>
      </c>
      <c r="C33" s="11">
        <f>Assumptions!C83*Assumptions!C86</f>
        <v>9</v>
      </c>
      <c r="D33" s="43">
        <f>Assumptions!C83*Assumptions!C86*Assumptions!C87</f>
        <v>72000</v>
      </c>
    </row>
    <row r="34" spans="2:4" x14ac:dyDescent="0.2">
      <c r="B34" s="9" t="s">
        <v>426</v>
      </c>
      <c r="C34" s="11">
        <v>1</v>
      </c>
      <c r="D34" s="43">
        <f>Assumptions!C91</f>
        <v>8000</v>
      </c>
    </row>
    <row r="35" spans="2:4" x14ac:dyDescent="0.2">
      <c r="B35" s="9" t="s">
        <v>156</v>
      </c>
      <c r="C35" s="11">
        <f>Assumptions!C92</f>
        <v>0</v>
      </c>
      <c r="D35" s="43">
        <f>Assumptions!C92*Assumptions!C93</f>
        <v>0</v>
      </c>
    </row>
    <row r="36" spans="2:4" x14ac:dyDescent="0.2">
      <c r="B36" s="9" t="s">
        <v>427</v>
      </c>
      <c r="C36" s="11">
        <f>Assumptions!C55</f>
        <v>18</v>
      </c>
      <c r="D36" s="43">
        <f>Assumptions!C58</f>
        <v>72000</v>
      </c>
    </row>
    <row r="37" spans="2:4" x14ac:dyDescent="0.2">
      <c r="B37" s="14" t="s">
        <v>428</v>
      </c>
      <c r="C37" s="19"/>
      <c r="D37" s="18">
        <f>D31+D32+D33+D34+D35+D36</f>
        <v>317000</v>
      </c>
    </row>
    <row r="39" spans="2:4" ht="17" x14ac:dyDescent="0.2">
      <c r="B39" s="7" t="s">
        <v>218</v>
      </c>
    </row>
    <row r="40" spans="2:4" x14ac:dyDescent="0.2">
      <c r="B40" s="31" t="s">
        <v>161</v>
      </c>
      <c r="C40" s="31" t="s">
        <v>422</v>
      </c>
    </row>
    <row r="41" spans="2:4" x14ac:dyDescent="0.2">
      <c r="B41" s="9" t="s">
        <v>429</v>
      </c>
      <c r="C41" s="43">
        <f>Assumptions!C140</f>
        <v>30000</v>
      </c>
    </row>
    <row r="42" spans="2:4" x14ac:dyDescent="0.2">
      <c r="B42" s="9" t="s">
        <v>430</v>
      </c>
      <c r="C42" s="43">
        <f>Assumptions!C141</f>
        <v>5000</v>
      </c>
    </row>
    <row r="43" spans="2:4" x14ac:dyDescent="0.2">
      <c r="B43" s="9" t="s">
        <v>431</v>
      </c>
      <c r="C43" s="43">
        <f>Assumptions!C142</f>
        <v>45000</v>
      </c>
    </row>
    <row r="44" spans="2:4" x14ac:dyDescent="0.2">
      <c r="B44" s="9" t="s">
        <v>432</v>
      </c>
      <c r="C44" s="43">
        <f>IF(Assumptions!C144="Yes",Assumptions!C145,0)</f>
        <v>0</v>
      </c>
    </row>
    <row r="45" spans="2:4" x14ac:dyDescent="0.2">
      <c r="B45" s="14" t="s">
        <v>433</v>
      </c>
      <c r="C45" s="18">
        <f>SUM(C41:C44)</f>
        <v>80000</v>
      </c>
    </row>
    <row r="47" spans="2:4" ht="17" x14ac:dyDescent="0.2">
      <c r="B47" s="7" t="s">
        <v>252</v>
      </c>
    </row>
    <row r="48" spans="2:4" x14ac:dyDescent="0.2">
      <c r="B48" s="31" t="s">
        <v>434</v>
      </c>
      <c r="C48" s="31" t="s">
        <v>435</v>
      </c>
      <c r="D48" s="31" t="s">
        <v>7</v>
      </c>
    </row>
    <row r="49" spans="2:4" x14ac:dyDescent="0.2">
      <c r="B49" s="9" t="s">
        <v>436</v>
      </c>
      <c r="C49" s="65">
        <f>Assumptions!C83</f>
        <v>3</v>
      </c>
      <c r="D49" s="12" t="s">
        <v>437</v>
      </c>
    </row>
    <row r="50" spans="2:4" x14ac:dyDescent="0.2">
      <c r="B50" s="9" t="s">
        <v>438</v>
      </c>
      <c r="C50" s="65">
        <f>Assumptions!C164</f>
        <v>150</v>
      </c>
      <c r="D50" s="12" t="s">
        <v>439</v>
      </c>
    </row>
    <row r="51" spans="2:4" x14ac:dyDescent="0.2">
      <c r="B51" s="9" t="s">
        <v>256</v>
      </c>
      <c r="C51" s="65">
        <f>Assumptions!C165</f>
        <v>450</v>
      </c>
      <c r="D51" s="12" t="s">
        <v>440</v>
      </c>
    </row>
    <row r="52" spans="2:4" x14ac:dyDescent="0.2">
      <c r="B52" s="9" t="s">
        <v>270</v>
      </c>
      <c r="C52" s="43">
        <f>Assumptions!C172</f>
        <v>237.5</v>
      </c>
      <c r="D52" s="12" t="s">
        <v>441</v>
      </c>
    </row>
    <row r="53" spans="2:4" x14ac:dyDescent="0.2">
      <c r="B53" s="14" t="s">
        <v>274</v>
      </c>
      <c r="C53" s="18">
        <f>Assumptions!C174</f>
        <v>106875</v>
      </c>
      <c r="D53" s="19"/>
    </row>
    <row r="54" spans="2:4" x14ac:dyDescent="0.2">
      <c r="B54" s="9" t="s">
        <v>442</v>
      </c>
      <c r="C54" s="30">
        <f>Assumptions!C176</f>
        <v>1.25</v>
      </c>
      <c r="D54" s="12" t="s">
        <v>443</v>
      </c>
    </row>
    <row r="55" spans="2:4" x14ac:dyDescent="0.2">
      <c r="B55" s="9" t="s">
        <v>444</v>
      </c>
      <c r="C55" s="65">
        <f>Assumptions!C166</f>
        <v>30</v>
      </c>
      <c r="D55" s="12" t="s">
        <v>445</v>
      </c>
    </row>
    <row r="56" spans="2:4" x14ac:dyDescent="0.2">
      <c r="B56" s="9" t="s">
        <v>260</v>
      </c>
      <c r="C56" s="65">
        <f>Assumptions!C167</f>
        <v>90</v>
      </c>
      <c r="D56" s="12" t="s">
        <v>446</v>
      </c>
    </row>
    <row r="58" spans="2:4" ht="17" x14ac:dyDescent="0.2">
      <c r="B58" s="7" t="s">
        <v>447</v>
      </c>
    </row>
    <row r="59" spans="2:4" x14ac:dyDescent="0.2">
      <c r="B59" s="31" t="s">
        <v>434</v>
      </c>
      <c r="C59" s="31" t="s">
        <v>435</v>
      </c>
      <c r="D59" s="31" t="s">
        <v>7</v>
      </c>
    </row>
    <row r="60" spans="2:4" x14ac:dyDescent="0.2">
      <c r="B60" s="9" t="s">
        <v>448</v>
      </c>
      <c r="C60" s="65">
        <f>Assumptions!C53</f>
        <v>55</v>
      </c>
      <c r="D60" s="12" t="s">
        <v>449</v>
      </c>
    </row>
    <row r="61" spans="2:4" x14ac:dyDescent="0.2">
      <c r="B61" s="9" t="s">
        <v>78</v>
      </c>
      <c r="C61" s="65">
        <f>Assumptions!C55</f>
        <v>18</v>
      </c>
      <c r="D61" s="12" t="s">
        <v>450</v>
      </c>
    </row>
    <row r="62" spans="2:4" x14ac:dyDescent="0.2">
      <c r="B62" s="9" t="s">
        <v>451</v>
      </c>
      <c r="C62" s="43">
        <f>Assumptions!C56</f>
        <v>4000</v>
      </c>
      <c r="D62" s="12" t="s">
        <v>452</v>
      </c>
    </row>
    <row r="63" spans="2:4" x14ac:dyDescent="0.2">
      <c r="B63" s="14" t="s">
        <v>84</v>
      </c>
      <c r="C63" s="18">
        <f>Assumptions!C58</f>
        <v>72000</v>
      </c>
      <c r="D63" s="19"/>
    </row>
    <row r="64" spans="2:4" x14ac:dyDescent="0.2">
      <c r="B64" s="9" t="s">
        <v>453</v>
      </c>
      <c r="C64" s="43">
        <f>Assumptions!C57</f>
        <v>150</v>
      </c>
      <c r="D64" s="12" t="s">
        <v>454</v>
      </c>
    </row>
    <row r="66" spans="2:4" ht="17" x14ac:dyDescent="0.2">
      <c r="B66" s="7" t="s">
        <v>455</v>
      </c>
    </row>
    <row r="67" spans="2:4" x14ac:dyDescent="0.2">
      <c r="B67" s="31" t="s">
        <v>456</v>
      </c>
      <c r="C67" s="31" t="s">
        <v>409</v>
      </c>
      <c r="D67" s="31" t="s">
        <v>457</v>
      </c>
    </row>
    <row r="68" spans="2:4" x14ac:dyDescent="0.2">
      <c r="B68" s="9" t="s">
        <v>458</v>
      </c>
      <c r="C68" s="43">
        <f>D17</f>
        <v>221575</v>
      </c>
      <c r="D68" s="12" t="s">
        <v>459</v>
      </c>
    </row>
    <row r="69" spans="2:4" x14ac:dyDescent="0.2">
      <c r="B69" s="9" t="s">
        <v>460</v>
      </c>
      <c r="C69" s="43">
        <f>Assumptions!C37*Assumptions!C24</f>
        <v>28907.83410138249</v>
      </c>
      <c r="D69" s="12" t="s">
        <v>461</v>
      </c>
    </row>
    <row r="70" spans="2:4" x14ac:dyDescent="0.2">
      <c r="B70" s="9" t="s">
        <v>462</v>
      </c>
      <c r="C70" s="43">
        <f>Assumptions!C97/12*Assumptions!C24+Assumptions!C98/12*Assumptions!C24+Assumptions!C99*Assumptions!C24+Assumptions!C100*Assumptions!C24</f>
        <v>35253.456221198161</v>
      </c>
      <c r="D70" s="12" t="s">
        <v>463</v>
      </c>
    </row>
    <row r="71" spans="2:4" x14ac:dyDescent="0.2">
      <c r="B71" s="9" t="s">
        <v>464</v>
      </c>
      <c r="C71" s="43">
        <f>D37</f>
        <v>317000</v>
      </c>
      <c r="D71" s="12" t="s">
        <v>465</v>
      </c>
    </row>
    <row r="72" spans="2:4" x14ac:dyDescent="0.2">
      <c r="B72" s="9" t="s">
        <v>218</v>
      </c>
      <c r="C72" s="43">
        <f>C45</f>
        <v>80000</v>
      </c>
      <c r="D72" s="12" t="s">
        <v>466</v>
      </c>
    </row>
    <row r="73" spans="2:4" x14ac:dyDescent="0.2">
      <c r="B73" s="9" t="s">
        <v>233</v>
      </c>
      <c r="C73" s="43">
        <f>Assumptions!C153</f>
        <v>68000</v>
      </c>
      <c r="D73" s="12" t="s">
        <v>467</v>
      </c>
    </row>
    <row r="74" spans="2:4" x14ac:dyDescent="0.2">
      <c r="B74" s="9" t="s">
        <v>468</v>
      </c>
      <c r="C74" s="43">
        <f>Assumptions!C174</f>
        <v>106875</v>
      </c>
      <c r="D74" s="12" t="s">
        <v>469</v>
      </c>
    </row>
    <row r="75" spans="2:4" x14ac:dyDescent="0.2">
      <c r="B75" s="9" t="s">
        <v>470</v>
      </c>
      <c r="C75" s="43">
        <f>IF(Assumptions!C105="Yes",Assumptions!C107+Assumptions!C106/12*Assumptions!C24,0)</f>
        <v>234562.21198156683</v>
      </c>
      <c r="D75" s="12" t="s">
        <v>471</v>
      </c>
    </row>
    <row r="76" spans="2:4" x14ac:dyDescent="0.2">
      <c r="B76" s="9" t="s">
        <v>472</v>
      </c>
      <c r="C76" s="43">
        <f>Assumptions!C136</f>
        <v>516000</v>
      </c>
      <c r="D76" s="12" t="s">
        <v>473</v>
      </c>
    </row>
    <row r="77" spans="2:4" x14ac:dyDescent="0.2">
      <c r="B77" s="14" t="s">
        <v>474</v>
      </c>
      <c r="C77" s="18">
        <f>SUM(C68:C76)</f>
        <v>1608173.5023041475</v>
      </c>
      <c r="D77" s="19"/>
    </row>
    <row r="78" spans="2:4" x14ac:dyDescent="0.2">
      <c r="B78" s="9" t="s">
        <v>475</v>
      </c>
      <c r="C78" s="43">
        <f>C77*Assumptions!C155</f>
        <v>241226.0253456221</v>
      </c>
      <c r="D78" s="12" t="s">
        <v>476</v>
      </c>
    </row>
    <row r="79" spans="2:4" ht="16" x14ac:dyDescent="0.2">
      <c r="B79" s="66" t="s">
        <v>477</v>
      </c>
      <c r="C79" s="67">
        <f>C77+C78</f>
        <v>1849399.5276497696</v>
      </c>
      <c r="D79" s="68"/>
    </row>
  </sheetData>
  <mergeCells count="1">
    <mergeCell ref="B3:E3"/>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D20"/>
  <sheetViews>
    <sheetView showGridLines="0" zoomScaleNormal="100" workbookViewId="0"/>
  </sheetViews>
  <sheetFormatPr baseColWidth="10" defaultColWidth="8.6640625" defaultRowHeight="15" x14ac:dyDescent="0.2"/>
  <cols>
    <col min="1" max="1" width="2" customWidth="1"/>
    <col min="2" max="2" width="42" customWidth="1"/>
    <col min="3" max="3" width="16" customWidth="1"/>
    <col min="4" max="4" width="50" customWidth="1"/>
  </cols>
  <sheetData>
    <row r="2" spans="2:4" ht="20" x14ac:dyDescent="0.2">
      <c r="B2" s="42" t="s">
        <v>478</v>
      </c>
    </row>
    <row r="3" spans="2:4" x14ac:dyDescent="0.2">
      <c r="B3" s="1" t="s">
        <v>479</v>
      </c>
      <c r="C3" s="1"/>
      <c r="D3" s="1"/>
    </row>
    <row r="5" spans="2:4" x14ac:dyDescent="0.2">
      <c r="B5" s="31" t="s">
        <v>456</v>
      </c>
      <c r="C5" s="31" t="s">
        <v>480</v>
      </c>
      <c r="D5" s="31" t="s">
        <v>457</v>
      </c>
    </row>
    <row r="6" spans="2:4" x14ac:dyDescent="0.2">
      <c r="B6" s="9" t="s">
        <v>481</v>
      </c>
      <c r="C6" s="43">
        <f>Assumptions!C37*Assumptions!C160</f>
        <v>8364</v>
      </c>
      <c r="D6" s="12" t="s">
        <v>482</v>
      </c>
    </row>
    <row r="7" spans="2:4" x14ac:dyDescent="0.2">
      <c r="B7" s="9" t="s">
        <v>483</v>
      </c>
      <c r="C7" s="43">
        <f>Assumptions!C97/12+Assumptions!C98/12+Assumptions!C99+Assumptions!C101</f>
        <v>10500</v>
      </c>
      <c r="D7" s="12" t="s">
        <v>484</v>
      </c>
    </row>
    <row r="8" spans="2:4" x14ac:dyDescent="0.2">
      <c r="B8" s="9" t="s">
        <v>485</v>
      </c>
      <c r="C8" s="43">
        <f>Assumptions!C158*Assumptions!C10*Assumptions!C23</f>
        <v>11935</v>
      </c>
      <c r="D8" s="12" t="s">
        <v>486</v>
      </c>
    </row>
    <row r="9" spans="2:4" x14ac:dyDescent="0.2">
      <c r="B9" s="9" t="s">
        <v>487</v>
      </c>
      <c r="C9" s="43">
        <f>Assumptions!C159*Assumptions!C14*Assumptions!C23</f>
        <v>4882.5</v>
      </c>
      <c r="D9" s="12" t="s">
        <v>486</v>
      </c>
    </row>
    <row r="10" spans="2:4" x14ac:dyDescent="0.2">
      <c r="B10" s="9" t="s">
        <v>488</v>
      </c>
      <c r="C10" s="43">
        <f>Assumptions!C44*Assumptions!C43</f>
        <v>1500</v>
      </c>
      <c r="D10" s="12" t="s">
        <v>489</v>
      </c>
    </row>
    <row r="11" spans="2:4" x14ac:dyDescent="0.2">
      <c r="B11" s="9" t="s">
        <v>490</v>
      </c>
      <c r="C11" s="43">
        <f>Assumptions!C83*Assumptions!C85</f>
        <v>2250</v>
      </c>
      <c r="D11" s="12" t="s">
        <v>491</v>
      </c>
    </row>
    <row r="12" spans="2:4" x14ac:dyDescent="0.2">
      <c r="B12" s="9" t="s">
        <v>492</v>
      </c>
      <c r="C12" s="43">
        <f>Assumptions!C83*Assumptions!C86*Assumptions!C88</f>
        <v>2700</v>
      </c>
      <c r="D12" s="12" t="s">
        <v>493</v>
      </c>
    </row>
    <row r="13" spans="2:4" x14ac:dyDescent="0.2">
      <c r="B13" s="9" t="s">
        <v>494</v>
      </c>
      <c r="C13" s="43">
        <f>Assumptions!C143/12</f>
        <v>2083.3333333333335</v>
      </c>
      <c r="D13" s="12" t="s">
        <v>495</v>
      </c>
    </row>
    <row r="14" spans="2:4" x14ac:dyDescent="0.2">
      <c r="B14" s="9" t="s">
        <v>496</v>
      </c>
      <c r="C14" s="43">
        <f>IF(Assumptions!C144="Yes",Assumptions!C146/12,0)</f>
        <v>0</v>
      </c>
      <c r="D14" s="12" t="s">
        <v>497</v>
      </c>
    </row>
    <row r="15" spans="2:4" x14ac:dyDescent="0.2">
      <c r="B15" s="9" t="s">
        <v>498</v>
      </c>
      <c r="C15" s="43">
        <f>Assumptions!C175/12</f>
        <v>890.625</v>
      </c>
      <c r="D15" s="12" t="s">
        <v>499</v>
      </c>
    </row>
    <row r="16" spans="2:4" x14ac:dyDescent="0.2">
      <c r="B16" s="9" t="s">
        <v>500</v>
      </c>
      <c r="C16" s="43">
        <f>Assumptions!C59</f>
        <v>2700</v>
      </c>
      <c r="D16" s="12" t="s">
        <v>501</v>
      </c>
    </row>
    <row r="17" spans="2:4" x14ac:dyDescent="0.2">
      <c r="B17" s="9" t="s">
        <v>502</v>
      </c>
      <c r="C17" s="43">
        <f>IF(Assumptions!C105="Yes",Assumptions!C106/12,0)</f>
        <v>8333.3333333333339</v>
      </c>
      <c r="D17" s="12" t="s">
        <v>503</v>
      </c>
    </row>
    <row r="18" spans="2:4" x14ac:dyDescent="0.2">
      <c r="B18" s="9" t="s">
        <v>504</v>
      </c>
      <c r="C18" s="43">
        <f>Assumptions!C137</f>
        <v>8200</v>
      </c>
      <c r="D18" s="12" t="s">
        <v>505</v>
      </c>
    </row>
    <row r="19" spans="2:4" x14ac:dyDescent="0.2">
      <c r="B19" s="69" t="s">
        <v>506</v>
      </c>
      <c r="C19" s="70">
        <f>SUM(C6:C18)</f>
        <v>64338.791666666672</v>
      </c>
      <c r="D19" s="71"/>
    </row>
    <row r="20" spans="2:4" ht="16" x14ac:dyDescent="0.2">
      <c r="B20" s="66" t="s">
        <v>507</v>
      </c>
      <c r="C20" s="67">
        <f>C19*12</f>
        <v>772065.5</v>
      </c>
      <c r="D20" s="68"/>
    </row>
  </sheetData>
  <mergeCells count="1">
    <mergeCell ref="B3:D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Assumptions</vt:lpstr>
      <vt:lpstr>Task Cost Detail</vt:lpstr>
      <vt:lpstr>Cost Summary</vt:lpstr>
      <vt:lpstr>Ongoing Run-Rate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Richard Williams</cp:lastModifiedBy>
  <cp:revision>1</cp:revision>
  <dcterms:created xsi:type="dcterms:W3CDTF">2026-07-29T09:37:28Z</dcterms:created>
  <dcterms:modified xsi:type="dcterms:W3CDTF">2026-07-29T10:44:53Z</dcterms:modified>
  <dc:language>en-US</dc:language>
</cp:coreProperties>
</file>